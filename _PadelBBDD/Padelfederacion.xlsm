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25" windowHeight="9690" tabRatio="644" firstSheet="1" activeTab="1"/>
  </bookViews>
  <sheets>
    <sheet name="Torneos 2015" sheetId="31" r:id="rId1"/>
    <sheet name="Torneos 2016" sheetId="5" r:id="rId2"/>
    <sheet name="Ranking-Alevin-Femenino" sheetId="2" r:id="rId3"/>
    <sheet name="Rankin-Infantil-Femenino" sheetId="35" r:id="rId4"/>
    <sheet name="Ranking-Alevin (2)" sheetId="17" r:id="rId5"/>
    <sheet name="Hoja33" sheetId="33" r:id="rId6"/>
    <sheet name="Datos" sheetId="34" r:id="rId7"/>
    <sheet name="Ranking-Plantilla" sheetId="41" r:id="rId8"/>
    <sheet name="Jugador-Plantilla" sheetId="43" r:id="rId9"/>
  </sheets>
  <functionGroups builtInGroupCount="17"/>
  <definedNames>
    <definedName name="_xlnm._FilterDatabase" localSheetId="0" hidden="1">'Torneos 2015'!$A$1:$F$24</definedName>
    <definedName name="_xlnm._FilterDatabase" localSheetId="1" hidden="1">'Torneos 2016'!$A$1:$F$19</definedName>
    <definedName name="Historial_de_LUCIA_RODRIGUEZ_REJON" localSheetId="4">'Ranking-Alevin (2)'!#REF!</definedName>
    <definedName name="Historial_de_LUCIA_RODRIGUEZ_REJON" localSheetId="2">'Ranking-Alevin-Femenino'!#REF!</definedName>
    <definedName name="IdCategorias">Datos!$A$2:$B$11</definedName>
  </definedNames>
  <calcPr calcId="145621"/>
</workbook>
</file>

<file path=xl/calcChain.xml><?xml version="1.0" encoding="utf-8"?>
<calcChain xmlns="http://schemas.openxmlformats.org/spreadsheetml/2006/main">
  <c r="F4" i="34" l="1"/>
  <c r="L13" i="17"/>
  <c r="L14" i="17"/>
  <c r="L15" i="17"/>
  <c r="L16" i="17"/>
  <c r="L12" i="17"/>
  <c r="N12" i="17"/>
  <c r="N13" i="17"/>
  <c r="N14" i="17"/>
  <c r="N15" i="17"/>
  <c r="N16" i="17"/>
  <c r="N10" i="17"/>
  <c r="L10" i="17"/>
</calcChain>
</file>

<file path=xl/connections.xml><?xml version="1.0" encoding="utf-8"?>
<connections xmlns="http://schemas.openxmlformats.org/spreadsheetml/2006/main">
  <connection id="1" name="Conexión1" type="4" refreshedVersion="4" background="1">
    <webPr sourceData="1" parsePre="1" consecutive="1" xl2000="1" url="http://www.padelfederacion.es/Paginas/padelmadrid/Rnk_Menores_HJ.asp?ranking=116&amp;licencia=" htmlTables="1"/>
  </connection>
</connections>
</file>

<file path=xl/sharedStrings.xml><?xml version="1.0" encoding="utf-8"?>
<sst xmlns="http://schemas.openxmlformats.org/spreadsheetml/2006/main" count="419" uniqueCount="232">
  <si>
    <t>ID</t>
  </si>
  <si>
    <t>del</t>
  </si>
  <si>
    <t>al</t>
  </si>
  <si>
    <t>torneo / campeonato</t>
  </si>
  <si>
    <t>categoria</t>
  </si>
  <si>
    <t>lugar</t>
  </si>
  <si>
    <t>sede</t>
  </si>
  <si>
    <t>SAN SEBASTIAN DE LOS REYES</t>
  </si>
  <si>
    <t>SANSET PADEL INDOOR</t>
  </si>
  <si>
    <t>BOADILLA DEL MONTE</t>
  </si>
  <si>
    <t>MENORES COPA NOVOPADEL. CAT A</t>
  </si>
  <si>
    <t>MENORES</t>
  </si>
  <si>
    <t>MOSTOLES</t>
  </si>
  <si>
    <t>NOVOPADEL</t>
  </si>
  <si>
    <t>I OPEN DE MENORES BALL PADEL. CAT A</t>
  </si>
  <si>
    <t>ALCALÁ DE HENARES</t>
  </si>
  <si>
    <t>Ballpadel Indoor</t>
  </si>
  <si>
    <t>POZUELO DE ALARCON</t>
  </si>
  <si>
    <t>MADRID</t>
  </si>
  <si>
    <t>V OPEN DE MENORES RIVAPADEL TROFEO AKKERON - REMAX. CAT A</t>
  </si>
  <si>
    <t>RIVAS VACIAMADRID</t>
  </si>
  <si>
    <t>RIVAPADEL- COVIBAR II</t>
  </si>
  <si>
    <t>ALCOBENDAS</t>
  </si>
  <si>
    <t>CLUB DE PADEL LA MORALEJA</t>
  </si>
  <si>
    <t>TORREJÓN DE ARDOZ</t>
  </si>
  <si>
    <t xml:space="preserve">CLUB PADEL SOTO TORREJON </t>
  </si>
  <si>
    <t>3ª prueba circuito pala pádel pro. Cat a.</t>
  </si>
  <si>
    <t>CIUDAD DE LA RAQUETA</t>
  </si>
  <si>
    <t>torneo IBP ciudad de la raqueta. CAT A.</t>
  </si>
  <si>
    <t>TORNEO DE MENORES ENEBE - CAMPUS PITU LOSADA ALICANTE. CAT A</t>
  </si>
  <si>
    <t>INDOOR PADEL TRAINING</t>
  </si>
  <si>
    <t>CAMPEONATO ABSOLUTO DE MADRID DE MENORES</t>
  </si>
  <si>
    <t>IV OPEN DE MENORES RIVAPADEL TROFEO AKKERON - ADESLAS. CAT A</t>
  </si>
  <si>
    <t>2ª prueba circuito pala pádel pro. CLASIFICATORIO MADRID CICLO III</t>
  </si>
  <si>
    <t>TORNEO DE MENORES DESARROLLO 3. PÁDEL SOTO TORREJÓN</t>
  </si>
  <si>
    <t>1º TORNEO DE MENORES padelmania.com - reebok sports club la finca. CAT A</t>
  </si>
  <si>
    <t>REEBOK SPORTS CLUB LA FINCA</t>
  </si>
  <si>
    <t>TORNEO DE MENORES EGALITE COIMBRAPADEL. CAT A</t>
  </si>
  <si>
    <t>COIMBRA PADEL</t>
  </si>
  <si>
    <t>TORNEO bullpadel CLASIFICATORIO MADRID CICLO II. cat a</t>
  </si>
  <si>
    <t>TORNEO DE MENORES DESARROLLO 2. PADEL LA MORALEJA</t>
  </si>
  <si>
    <t>1ª prueba circuito pala pádel pro. CAT A.</t>
  </si>
  <si>
    <t>LEANE REPUBLIC SPACE OPEN MENORES. CAT A.</t>
  </si>
  <si>
    <t>REPUBLIC SPACE</t>
  </si>
  <si>
    <t>TORNEO CLASIFICATORIO MADRID CICLO I. SANSET PÁDEL. CAT A</t>
  </si>
  <si>
    <t xml:space="preserve">TORNEO DE MENORES DESARROLLO 1. </t>
  </si>
  <si>
    <t>pos.</t>
  </si>
  <si>
    <t>licencia</t>
  </si>
  <si>
    <t>apellido / nombre</t>
  </si>
  <si>
    <t>torneos</t>
  </si>
  <si>
    <t>jugados</t>
  </si>
  <si>
    <t>puntos</t>
  </si>
  <si>
    <t>totales</t>
  </si>
  <si>
    <t>average</t>
  </si>
  <si>
    <t>AINHOA FERNANDEZ IZQUIERDO</t>
  </si>
  <si>
    <t>LUCIA GONZALEZ BELTRAN</t>
  </si>
  <si>
    <t>ELENA ALCALDE BELLO</t>
  </si>
  <si>
    <t>LORENA COSSIO CAPILLA</t>
  </si>
  <si>
    <t>MARIA RUIZ-JIMENEZ RAMOS</t>
  </si>
  <si>
    <t>YRAYA CARNICERO DIAZ</t>
  </si>
  <si>
    <t>MARA LOPEZ BLAS</t>
  </si>
  <si>
    <t>NOEMI AGUILAR CARRILLO</t>
  </si>
  <si>
    <t>LUCIA RODRIGUEZ REJON</t>
  </si>
  <si>
    <t>MARIA ARRIBAS BALLESTEROS</t>
  </si>
  <si>
    <t>LAURA GUTIERREZ SAINERO</t>
  </si>
  <si>
    <t>NADIA TORREIRO FALQUINA</t>
  </si>
  <si>
    <t>ROCIO PALMA ESCRIBANO</t>
  </si>
  <si>
    <t>LETIZIA MARIA MANQUILLO ALARZA</t>
  </si>
  <si>
    <t>LUCIA VICENTE MERA</t>
  </si>
  <si>
    <t>LYDIA SILVAN RAMIRO</t>
  </si>
  <si>
    <t>MIRIAM ROSA SOLVAS</t>
  </si>
  <si>
    <t>ANA CRISTINA SANCHEZ PEREZ</t>
  </si>
  <si>
    <t>SANDRA PEREIRA TOLEDO</t>
  </si>
  <si>
    <t>NATALIA MATEOS BORREGO</t>
  </si>
  <si>
    <t>CLAUDIA ALVAREZ BELINCHON</t>
  </si>
  <si>
    <t>YAIZA HIDALGO CORDERO</t>
  </si>
  <si>
    <t>CLAUDIA FERNANDEZ SANCHEZ</t>
  </si>
  <si>
    <t>MARTA ARELLANO NAVARRO</t>
  </si>
  <si>
    <t>JIMENA VELASCO POSTIGUILLO</t>
  </si>
  <si>
    <t>LAURA MANUELA GONZALEZ PEREZ</t>
  </si>
  <si>
    <t>SOFIA LLAMAS CHIVATO</t>
  </si>
  <si>
    <t>ANA DE LA PEÑA DE JESUS</t>
  </si>
  <si>
    <t>ESTHER CUENCA DALMAU</t>
  </si>
  <si>
    <t>PATRICIA JIMENEZ PEREA</t>
  </si>
  <si>
    <t>CLAUDIA MUELAS RODRIGUEZ</t>
  </si>
  <si>
    <t>NOELIA GARCIA REVILLAS</t>
  </si>
  <si>
    <t>MARIA DE LA CRUZ GALLEGO</t>
  </si>
  <si>
    <t>RUTH GONZALEZ MARTINEZ</t>
  </si>
  <si>
    <t>VALERIA DE ANDRES FERNANDEZ</t>
  </si>
  <si>
    <t>CANDELA DIEZ ALCARAZ</t>
  </si>
  <si>
    <t>CRISTINA POVEDA GUTIERREZ</t>
  </si>
  <si>
    <t>ALICIA GUERRA GARCIA</t>
  </si>
  <si>
    <t>LAURA BARROS NAYA</t>
  </si>
  <si>
    <t>ANA GARCIA PINADERO</t>
  </si>
  <si>
    <t>ANA MARIA CHOYA LEON</t>
  </si>
  <si>
    <t>ANGELA RODRIGUEZ MENESES</t>
  </si>
  <si>
    <t>OLGA FERNANDEZ - ESCRIBANO RODRIGUEZ</t>
  </si>
  <si>
    <t>LUCIA MIRANDA BELANDO</t>
  </si>
  <si>
    <t>JULIA ESCARDO TOMAS</t>
  </si>
  <si>
    <t>ELENA ISUSI GONZALEZ</t>
  </si>
  <si>
    <t>PAULA FERNANDEZ GAZQUEZ</t>
  </si>
  <si>
    <t>CARLOTA DELGADO RUIZ</t>
  </si>
  <si>
    <t>AMAYA ALONSO VILLASEVIL</t>
  </si>
  <si>
    <t>VALERIA DIEZ CRUZ</t>
  </si>
  <si>
    <t>DANIELA ARRANZ LOPEZ</t>
  </si>
  <si>
    <t>ANDREA MORENO GUAPO</t>
  </si>
  <si>
    <t>DIANA MARIA VASINCA .</t>
  </si>
  <si>
    <t>LUCIA BLANCO UROSA</t>
  </si>
  <si>
    <t>AILA C TRIBALDO ALBERT</t>
  </si>
  <si>
    <t>RAQUEL CESPEDES LOPEZ</t>
  </si>
  <si>
    <t>PATRICIA ARAUS LOPEZ</t>
  </si>
  <si>
    <t>MARTA PEREZ HERNANDEZ</t>
  </si>
  <si>
    <t>MINERVA CORZO RODRIGUEZ</t>
  </si>
  <si>
    <t>HELENA ROUSSELET NOVILLO</t>
  </si>
  <si>
    <t>Semifinalista</t>
  </si>
  <si>
    <t>Campeón</t>
  </si>
  <si>
    <t>Campeón Consolación</t>
  </si>
  <si>
    <t>Finalista</t>
  </si>
  <si>
    <t>torneo de navidad de menores ciudad de la raqueta. CAT A.</t>
  </si>
  <si>
    <t>republic space open menores. cat a</t>
  </si>
  <si>
    <t>Cuartos</t>
  </si>
  <si>
    <t>I OPEN FEDERADO DE MENORES PADEL INDOOR DAGANZO. cat a</t>
  </si>
  <si>
    <t>TORNEO DE MENORES DE NAVIDAD CIUDAD DE LA RAQUETA. CAT A.</t>
  </si>
  <si>
    <t>Finalista Consolación</t>
  </si>
  <si>
    <t>II OPEN MENORES RIVAPADEL. CAT A</t>
  </si>
  <si>
    <t>open de menores get indoor pádel. cat a</t>
  </si>
  <si>
    <t>TORNEO MENORES TROFEO PRINCE PÁDEL MONTE ROZAS. cat a.</t>
  </si>
  <si>
    <t>TORNEO DE MENORES CIUDAD DE LA RAQUETA IBP - ASICS -HEAD. CAT A.</t>
  </si>
  <si>
    <t>TORNEO de menores get indoor pádel. cat a. CLASIFICATORIO MADRID CICLO 2</t>
  </si>
  <si>
    <t>III OPEN MENORES COIMBRAPADEL. CAT A</t>
  </si>
  <si>
    <t>I TORNEO MENORES CIRCUITO PALA PADEL PRO. CAT A</t>
  </si>
  <si>
    <t>III CAMPEONATO DE MENORES TROFEO BULLPADEL CAT A ( CLASIF. CICLO 1)</t>
  </si>
  <si>
    <t>open pádel menores verano 2015 ciudad de la raqueta. CAT A.</t>
  </si>
  <si>
    <t>II PRUEBA CIRCUITO PALA PADEL PRO MENORES cat a. CLASF. MADRID CICLO 3</t>
  </si>
  <si>
    <t>IV OPEN MENORES COIMBRAPADEL. CAT A</t>
  </si>
  <si>
    <t>Principal</t>
  </si>
  <si>
    <t>Consolación</t>
  </si>
  <si>
    <t>MASTER FMP 2015 MENORES</t>
  </si>
  <si>
    <t>GETAFE</t>
  </si>
  <si>
    <t>GET INDOOR PADEL</t>
  </si>
  <si>
    <t>DAGANZO DE ARRIBA</t>
  </si>
  <si>
    <t>PADEL INDOOR DAGANZO</t>
  </si>
  <si>
    <t xml:space="preserve">III open menores rivapadel. cat a. </t>
  </si>
  <si>
    <t xml:space="preserve">TORNEO DE MENORES EL CUARTO SET - ONDA CERO. cat a. </t>
  </si>
  <si>
    <t>COLMENAR VIEJO</t>
  </si>
  <si>
    <t>EL CUARTO SET</t>
  </si>
  <si>
    <t xml:space="preserve">III PRUEBA CIRCUITO PALA PADEL PRO MENORES cat a. </t>
  </si>
  <si>
    <t>LAS ROZAS</t>
  </si>
  <si>
    <t>CLUB MONTE ROZAS</t>
  </si>
  <si>
    <t>TORNEO DE MENORES DESARROLLO 2 GET INDOOR PADEL</t>
  </si>
  <si>
    <t>Sin definir</t>
  </si>
  <si>
    <t>Categorias</t>
  </si>
  <si>
    <t>Puntos por Torneo</t>
  </si>
  <si>
    <t>CAROLINA GALAZ SANCHEZ</t>
  </si>
  <si>
    <t>LETICIA MARTINEZ LOPEZ</t>
  </si>
  <si>
    <t>PAULA BESTEIRO TRAPERO</t>
  </si>
  <si>
    <t>MONICA GOMEZ RIVAS</t>
  </si>
  <si>
    <t>ALBA LOPEZ BLAS</t>
  </si>
  <si>
    <t>ANGELA IRAZABAL IRAZABAL</t>
  </si>
  <si>
    <t>CARLA POZUELO SALAMANCA</t>
  </si>
  <si>
    <t>NATALIA SANZ GARCIA</t>
  </si>
  <si>
    <t>SONSOLES CASTRESANA PEREZ</t>
  </si>
  <si>
    <t>JIMENA GARRO MARTINEZ</t>
  </si>
  <si>
    <t>SOFIA GARRO MARTINEZ</t>
  </si>
  <si>
    <t>CARMEN RUIZ-JIMENEZ RAMOS</t>
  </si>
  <si>
    <t>LUCIA FREIRE RUIZ</t>
  </si>
  <si>
    <t>SOFIA MUÑOZ SALINAS</t>
  </si>
  <si>
    <t>MIRIAM FELICES RUIZ</t>
  </si>
  <si>
    <t>VIOLETA MORAGON RUIZ</t>
  </si>
  <si>
    <t>FATIMA PATIÑO GALINDO</t>
  </si>
  <si>
    <t>ELENA PAREJA ABIA</t>
  </si>
  <si>
    <t>CARMEN DIAZ RIBAGORDA</t>
  </si>
  <si>
    <t>ALBA SANCHEZ HERNANDEZ</t>
  </si>
  <si>
    <t>SONIA PEREIRA TOLEDO</t>
  </si>
  <si>
    <t>LYDIA GONZALEZ FERNANDEZ</t>
  </si>
  <si>
    <t>RAQUEL MORALES GUILLERMO</t>
  </si>
  <si>
    <t>DAFNE BELLIDO MORATALLA</t>
  </si>
  <si>
    <t>BERTA FERNANDEZ BURGOS</t>
  </si>
  <si>
    <t>ISABEL DIAZ CASADO</t>
  </si>
  <si>
    <t>ROCIO TAGARRO HERNANDEZ</t>
  </si>
  <si>
    <t>RAQUEL TARDON GRANADOS</t>
  </si>
  <si>
    <t>MARTA GIL DURAN</t>
  </si>
  <si>
    <t>CARLA MARTIN DEL CAMPO VENTURA</t>
  </si>
  <si>
    <t>MARI PAZ HERMIDA VAZQUEZ</t>
  </si>
  <si>
    <t>SANDRA URBANO RODRIGUEZ</t>
  </si>
  <si>
    <t>NOELIA VICENTE MERA</t>
  </si>
  <si>
    <t>ANA BLAZQUEZ MARIN</t>
  </si>
  <si>
    <t>MARIA DEL CARMEN GALLEGO CASTAÑO</t>
  </si>
  <si>
    <t>MIRIAM BESGA RUIZ DE OCENDA</t>
  </si>
  <si>
    <t>MARINA GONZALEZ GARCIA</t>
  </si>
  <si>
    <t>SOFIA LEGAZ HALL</t>
  </si>
  <si>
    <t>ESTHER CESPEDES LOPEZ</t>
  </si>
  <si>
    <t>MINERVA HUERTAS TALAMINO</t>
  </si>
  <si>
    <t>ROCIO DIAZ SAN PEDRO</t>
  </si>
  <si>
    <t>ANDREA CATON CALVO</t>
  </si>
  <si>
    <t>CARLOTA YAÑEZ ALCON</t>
  </si>
  <si>
    <t>ANDREA CRESPO ARROYO</t>
  </si>
  <si>
    <t>MARIA MONTERO GOMEZ</t>
  </si>
  <si>
    <t>PAULA GOMEZ CASADO</t>
  </si>
  <si>
    <t>ALEJANDRA GARCES APARICIO</t>
  </si>
  <si>
    <t>NEREA CARRETERO ALVARO</t>
  </si>
  <si>
    <t>LAURA GARCIA MARTIN</t>
  </si>
  <si>
    <t>LAURA LOPEZ MUIÑA</t>
  </si>
  <si>
    <t>AITANA MARTINEZ GARCIA</t>
  </si>
  <si>
    <t>ANDREA CAMACHO VALLADARES</t>
  </si>
  <si>
    <t>DIANA QUINTANILLA SANTAMARIA</t>
  </si>
  <si>
    <t>OLIVIA QINGHUA VICENTE PACHECO</t>
  </si>
  <si>
    <t>CLARA SEVILLA FORERO</t>
  </si>
  <si>
    <t>MARTA RUIZ TAJADA</t>
  </si>
  <si>
    <t>VALERIA GARCIA ROA</t>
  </si>
  <si>
    <t>CLAUDIA BARTOLOME HERNANDEZ</t>
  </si>
  <si>
    <t>CRISTINA FRON CABRERO</t>
  </si>
  <si>
    <t>CLAUDIA YUQI BLANCO TOME</t>
  </si>
  <si>
    <t>ALICIA ELIZAGA PLASENCIA</t>
  </si>
  <si>
    <t>ALBA HENCHE ASHRAF-KASHANI</t>
  </si>
  <si>
    <t>LUCIA JIMENEZ USERO</t>
  </si>
  <si>
    <t>SOFIA PEREA DE LA FUENTE</t>
  </si>
  <si>
    <t>MONICA FERRER GOMEZ-CANO</t>
  </si>
  <si>
    <t>LAURA PRADO OLIAS</t>
  </si>
  <si>
    <t>PATRICIA CASTAÑO COLOMA</t>
  </si>
  <si>
    <t>PAULA SOMOZA PEREZ</t>
  </si>
  <si>
    <t>LARA MUÑOZ LORENTE</t>
  </si>
  <si>
    <t>Benjamin-Masculino</t>
  </si>
  <si>
    <t>Benjamin-Femenino</t>
  </si>
  <si>
    <t>Alevin-Femenino</t>
  </si>
  <si>
    <t>Alevin-Masculino</t>
  </si>
  <si>
    <t>Infantil-Femenino</t>
  </si>
  <si>
    <t>Infantil-Masculino</t>
  </si>
  <si>
    <t>Cadete-Femenino</t>
  </si>
  <si>
    <t>Cadete-Masculino</t>
  </si>
  <si>
    <t>Junior-Femenino</t>
  </si>
  <si>
    <t>Junior-Masculino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</si>
</sst>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 wrapText="1"/>
    </xf>
    <xf numFmtId="0" fontId="4" fillId="0" borderId="0" xfId="4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3" fillId="4" borderId="0" xfId="3" applyNumberFormat="1" applyAlignment="1">
      <alignment horizontal="center" vertical="center" wrapText="1"/>
    </xf>
    <xf numFmtId="0" fontId="3" fillId="4" borderId="0" xfId="3" applyAlignment="1">
      <alignment horizontal="center" vertical="center" wrapText="1"/>
    </xf>
    <xf numFmtId="3" fontId="0" fillId="0" borderId="0" xfId="0" applyNumberFormat="1" applyAlignment="1">
      <alignment vertical="center" wrapText="1"/>
    </xf>
    <xf numFmtId="0" fontId="2" fillId="3" borderId="0" xfId="2" applyAlignment="1">
      <alignment vertical="center" wrapText="1"/>
    </xf>
    <xf numFmtId="0" fontId="1" fillId="2" borderId="0" xfId="1"/>
    <xf numFmtId="0" fontId="3" fillId="4" borderId="0" xfId="3" applyAlignment="1">
      <alignment horizontal="center" vertical="center" wrapText="1"/>
    </xf>
  </cellXfs>
  <cellStyles count="5">
    <cellStyle name="Buena" xfId="1" builtinId="26"/>
    <cellStyle name="Énfasis1" xfId="3" builtinId="29"/>
    <cellStyle name="Hipervínculo" xfId="4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742950</xdr:colOff>
          <xdr:row>1</xdr:row>
          <xdr:rowOff>19050</xdr:rowOff>
        </xdr:from>
        <xdr:to>
          <xdr:col>9</xdr:col>
          <xdr:colOff>419100</xdr:colOff>
          <xdr:row>3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Importar Cuadros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2</xdr:row>
          <xdr:rowOff>19050</xdr:rowOff>
        </xdr:from>
        <xdr:to>
          <xdr:col>9</xdr:col>
          <xdr:colOff>723900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 Historial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733425</xdr:colOff>
          <xdr:row>3</xdr:row>
          <xdr:rowOff>152400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 Historial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9</xdr:col>
          <xdr:colOff>752475</xdr:colOff>
          <xdr:row>3</xdr:row>
          <xdr:rowOff>152400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 Historial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180975</xdr:rowOff>
        </xdr:from>
        <xdr:to>
          <xdr:col>9</xdr:col>
          <xdr:colOff>752475</xdr:colOff>
          <xdr:row>3</xdr:row>
          <xdr:rowOff>123825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Cuadro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66675</xdr:rowOff>
        </xdr:from>
        <xdr:to>
          <xdr:col>9</xdr:col>
          <xdr:colOff>742950</xdr:colOff>
          <xdr:row>6</xdr:row>
          <xdr:rowOff>9525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Consolación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fmpadel.com/if_torneos.aspx?IdTorneo=9744" TargetMode="External"/><Relationship Id="rId18" Type="http://schemas.openxmlformats.org/officeDocument/2006/relationships/hyperlink" Target="http://www.fmpadel.com/if_torneos.aspx?IdTorneo=9690" TargetMode="External"/><Relationship Id="rId26" Type="http://schemas.openxmlformats.org/officeDocument/2006/relationships/hyperlink" Target="http://www.fmpadel.com/if_torneos.aspx?IdTorneo=9492" TargetMode="External"/><Relationship Id="rId39" Type="http://schemas.openxmlformats.org/officeDocument/2006/relationships/hyperlink" Target="http://www.fmpadel.com/if_torneos.aspx?IdTorneo=9343" TargetMode="External"/><Relationship Id="rId21" Type="http://schemas.openxmlformats.org/officeDocument/2006/relationships/hyperlink" Target="http://www.fmpadel.com/if_torneos.aspx?IdTorneo=9547" TargetMode="External"/><Relationship Id="rId34" Type="http://schemas.openxmlformats.org/officeDocument/2006/relationships/hyperlink" Target="http://www.fmpadel.com/if_torneos.aspx?IdTorneo=9392" TargetMode="External"/><Relationship Id="rId42" Type="http://schemas.openxmlformats.org/officeDocument/2006/relationships/hyperlink" Target="http://www.fmpadel.com/if_torneos.aspx?IdTorneo=9287" TargetMode="External"/><Relationship Id="rId47" Type="http://schemas.openxmlformats.org/officeDocument/2006/relationships/hyperlink" Target="http://www.fmpadel.com/if_torneos.aspx?IdTorneo=9260" TargetMode="External"/><Relationship Id="rId50" Type="http://schemas.openxmlformats.org/officeDocument/2006/relationships/hyperlink" Target="http://www.fmpadel.com/if_torneos.aspx?IdTorneo=9197" TargetMode="External"/><Relationship Id="rId55" Type="http://schemas.openxmlformats.org/officeDocument/2006/relationships/hyperlink" Target="http://www.fmpadel.com/if_torneos.aspx?IdTorneo=8996" TargetMode="External"/><Relationship Id="rId63" Type="http://schemas.openxmlformats.org/officeDocument/2006/relationships/hyperlink" Target="http://www.fmpadel.com/if_torneos.aspx?IdTorneo=8958" TargetMode="External"/><Relationship Id="rId68" Type="http://schemas.openxmlformats.org/officeDocument/2006/relationships/hyperlink" Target="http://www.fmpadel.com/if_torneos.aspx?IdTorneo=8876" TargetMode="External"/><Relationship Id="rId76" Type="http://schemas.openxmlformats.org/officeDocument/2006/relationships/hyperlink" Target="http://www.fmpadel.com/if_torneos.aspx?IdTorneo=8832" TargetMode="External"/><Relationship Id="rId84" Type="http://schemas.openxmlformats.org/officeDocument/2006/relationships/hyperlink" Target="http://www.fmpadel.com/if_torneos.aspx?IdTorneo=8605" TargetMode="External"/><Relationship Id="rId89" Type="http://schemas.openxmlformats.org/officeDocument/2006/relationships/hyperlink" Target="http://www.fmpadel.com/if_torneos.aspx?IdTorneo=8629" TargetMode="External"/><Relationship Id="rId7" Type="http://schemas.openxmlformats.org/officeDocument/2006/relationships/hyperlink" Target="http://www.fmpadel.com/if_torneos.aspx?IdTorneo=8634" TargetMode="External"/><Relationship Id="rId71" Type="http://schemas.openxmlformats.org/officeDocument/2006/relationships/hyperlink" Target="http://www.fmpadel.com/if_torneos.aspx?IdTorneo=8918" TargetMode="External"/><Relationship Id="rId92" Type="http://schemas.openxmlformats.org/officeDocument/2006/relationships/hyperlink" Target="http://www.fmpadel.com/if_torneos.aspx?IdTorneo=8629" TargetMode="External"/><Relationship Id="rId2" Type="http://schemas.openxmlformats.org/officeDocument/2006/relationships/hyperlink" Target="http://www.fmpadel.com/if_torneos.aspx?IdTorneo=9856" TargetMode="External"/><Relationship Id="rId16" Type="http://schemas.openxmlformats.org/officeDocument/2006/relationships/hyperlink" Target="http://www.fmpadel.com/if_torneos.aspx?IdTorneo=9744" TargetMode="External"/><Relationship Id="rId29" Type="http://schemas.openxmlformats.org/officeDocument/2006/relationships/hyperlink" Target="http://www.fmpadel.com/if_torneos.aspx?IdTorneo=9417" TargetMode="External"/><Relationship Id="rId11" Type="http://schemas.openxmlformats.org/officeDocument/2006/relationships/hyperlink" Target="http://www.fmpadel.com/if_torneos.aspx?IdTorneo=9807" TargetMode="External"/><Relationship Id="rId24" Type="http://schemas.openxmlformats.org/officeDocument/2006/relationships/hyperlink" Target="http://www.fmpadel.com/if_torneos.aspx?IdTorneo=9547" TargetMode="External"/><Relationship Id="rId32" Type="http://schemas.openxmlformats.org/officeDocument/2006/relationships/hyperlink" Target="http://www.fmpadel.com/if_torneos.aspx?IdTorneo=9417" TargetMode="External"/><Relationship Id="rId37" Type="http://schemas.openxmlformats.org/officeDocument/2006/relationships/hyperlink" Target="http://www.fmpadel.com/if_torneos.aspx?IdTorneo=9343" TargetMode="External"/><Relationship Id="rId40" Type="http://schemas.openxmlformats.org/officeDocument/2006/relationships/hyperlink" Target="http://www.fmpadel.com/if_torneos.aspx?IdTorneo=9343" TargetMode="External"/><Relationship Id="rId45" Type="http://schemas.openxmlformats.org/officeDocument/2006/relationships/hyperlink" Target="http://www.fmpadel.com/if_torneos.aspx?IdTorneo=9260" TargetMode="External"/><Relationship Id="rId53" Type="http://schemas.openxmlformats.org/officeDocument/2006/relationships/hyperlink" Target="http://www.fmpadel.com/if_torneos.aspx?IdTorneo=8996" TargetMode="External"/><Relationship Id="rId58" Type="http://schemas.openxmlformats.org/officeDocument/2006/relationships/hyperlink" Target="http://www.fmpadel.com/if_torneos.aspx?IdTorneo=8995" TargetMode="External"/><Relationship Id="rId66" Type="http://schemas.openxmlformats.org/officeDocument/2006/relationships/hyperlink" Target="http://www.fmpadel.com/if_torneos.aspx?IdTorneo=8876" TargetMode="External"/><Relationship Id="rId74" Type="http://schemas.openxmlformats.org/officeDocument/2006/relationships/hyperlink" Target="http://www.fmpadel.com/if_torneos.aspx?IdTorneo=8832" TargetMode="External"/><Relationship Id="rId79" Type="http://schemas.openxmlformats.org/officeDocument/2006/relationships/hyperlink" Target="http://www.fmpadel.com/if_torneos.aspx?IdTorneo=8775" TargetMode="External"/><Relationship Id="rId87" Type="http://schemas.openxmlformats.org/officeDocument/2006/relationships/hyperlink" Target="http://www.fmpadel.com/if_torneos.aspx?IdTorneo=8703" TargetMode="External"/><Relationship Id="rId5" Type="http://schemas.openxmlformats.org/officeDocument/2006/relationships/hyperlink" Target="http://www.fmpadel.com/if_torneos.aspx?IdTorneo=8634" TargetMode="External"/><Relationship Id="rId61" Type="http://schemas.openxmlformats.org/officeDocument/2006/relationships/hyperlink" Target="http://www.fmpadel.com/if_torneos.aspx?IdTorneo=8958" TargetMode="External"/><Relationship Id="rId82" Type="http://schemas.openxmlformats.org/officeDocument/2006/relationships/hyperlink" Target="http://www.fmpadel.com/if_torneos.aspx?IdTorneo=8605" TargetMode="External"/><Relationship Id="rId90" Type="http://schemas.openxmlformats.org/officeDocument/2006/relationships/hyperlink" Target="http://www.fmpadel.com/if_torneos.aspx?IdTorneo=8629" TargetMode="External"/><Relationship Id="rId19" Type="http://schemas.openxmlformats.org/officeDocument/2006/relationships/hyperlink" Target="http://www.fmpadel.com/if_torneos.aspx?IdTorneo=9690" TargetMode="External"/><Relationship Id="rId14" Type="http://schemas.openxmlformats.org/officeDocument/2006/relationships/hyperlink" Target="http://www.fmpadel.com/if_torneos.aspx?IdTorneo=9744" TargetMode="External"/><Relationship Id="rId22" Type="http://schemas.openxmlformats.org/officeDocument/2006/relationships/hyperlink" Target="http://www.fmpadel.com/if_torneos.aspx?IdTorneo=9547" TargetMode="External"/><Relationship Id="rId27" Type="http://schemas.openxmlformats.org/officeDocument/2006/relationships/hyperlink" Target="http://www.fmpadel.com/if_torneos.aspx?IdTorneo=9492" TargetMode="External"/><Relationship Id="rId30" Type="http://schemas.openxmlformats.org/officeDocument/2006/relationships/hyperlink" Target="http://www.fmpadel.com/if_torneos.aspx?IdTorneo=9417" TargetMode="External"/><Relationship Id="rId35" Type="http://schemas.openxmlformats.org/officeDocument/2006/relationships/hyperlink" Target="http://www.fmpadel.com/if_torneos.aspx?IdTorneo=9392" TargetMode="External"/><Relationship Id="rId43" Type="http://schemas.openxmlformats.org/officeDocument/2006/relationships/hyperlink" Target="http://www.fmpadel.com/if_torneos.aspx?IdTorneo=9287" TargetMode="External"/><Relationship Id="rId48" Type="http://schemas.openxmlformats.org/officeDocument/2006/relationships/hyperlink" Target="http://www.fmpadel.com/if_torneos.aspx?IdTorneo=9260" TargetMode="External"/><Relationship Id="rId56" Type="http://schemas.openxmlformats.org/officeDocument/2006/relationships/hyperlink" Target="http://www.fmpadel.com/if_torneos.aspx?IdTorneo=8996" TargetMode="External"/><Relationship Id="rId64" Type="http://schemas.openxmlformats.org/officeDocument/2006/relationships/hyperlink" Target="http://www.fmpadel.com/if_torneos.aspx?IdTorneo=8958" TargetMode="External"/><Relationship Id="rId69" Type="http://schemas.openxmlformats.org/officeDocument/2006/relationships/hyperlink" Target="http://www.fmpadel.com/if_torneos.aspx?IdTorneo=8918" TargetMode="External"/><Relationship Id="rId77" Type="http://schemas.openxmlformats.org/officeDocument/2006/relationships/hyperlink" Target="http://www.fmpadel.com/if_torneos.aspx?IdTorneo=8775" TargetMode="External"/><Relationship Id="rId8" Type="http://schemas.openxmlformats.org/officeDocument/2006/relationships/hyperlink" Target="http://www.fmpadel.com/if_torneos.aspx?IdTorneo=8634" TargetMode="External"/><Relationship Id="rId51" Type="http://schemas.openxmlformats.org/officeDocument/2006/relationships/hyperlink" Target="http://www.fmpadel.com/if_torneos.aspx?IdTorneo=9197" TargetMode="External"/><Relationship Id="rId72" Type="http://schemas.openxmlformats.org/officeDocument/2006/relationships/hyperlink" Target="http://www.fmpadel.com/if_torneos.aspx?IdTorneo=8918" TargetMode="External"/><Relationship Id="rId80" Type="http://schemas.openxmlformats.org/officeDocument/2006/relationships/hyperlink" Target="http://www.fmpadel.com/if_torneos.aspx?IdTorneo=8775" TargetMode="External"/><Relationship Id="rId85" Type="http://schemas.openxmlformats.org/officeDocument/2006/relationships/hyperlink" Target="http://www.fmpadel.com/if_torneos.aspx?IdTorneo=8703" TargetMode="External"/><Relationship Id="rId3" Type="http://schemas.openxmlformats.org/officeDocument/2006/relationships/hyperlink" Target="http://www.fmpadel.com/if_torneos.aspx?IdTorneo=9856" TargetMode="External"/><Relationship Id="rId12" Type="http://schemas.openxmlformats.org/officeDocument/2006/relationships/hyperlink" Target="http://www.fmpadel.com/if_torneos.aspx?IdTorneo=9807" TargetMode="External"/><Relationship Id="rId17" Type="http://schemas.openxmlformats.org/officeDocument/2006/relationships/hyperlink" Target="http://www.fmpadel.com/if_torneos.aspx?IdTorneo=9690" TargetMode="External"/><Relationship Id="rId25" Type="http://schemas.openxmlformats.org/officeDocument/2006/relationships/hyperlink" Target="http://www.fmpadel.com/if_torneos.aspx?IdTorneo=9492" TargetMode="External"/><Relationship Id="rId33" Type="http://schemas.openxmlformats.org/officeDocument/2006/relationships/hyperlink" Target="http://www.fmpadel.com/if_torneos.aspx?IdTorneo=9392" TargetMode="External"/><Relationship Id="rId38" Type="http://schemas.openxmlformats.org/officeDocument/2006/relationships/hyperlink" Target="http://www.fmpadel.com/if_torneos.aspx?IdTorneo=9343" TargetMode="External"/><Relationship Id="rId46" Type="http://schemas.openxmlformats.org/officeDocument/2006/relationships/hyperlink" Target="http://www.fmpadel.com/if_torneos.aspx?IdTorneo=9260" TargetMode="External"/><Relationship Id="rId59" Type="http://schemas.openxmlformats.org/officeDocument/2006/relationships/hyperlink" Target="http://www.fmpadel.com/if_torneos.aspx?IdTorneo=8995" TargetMode="External"/><Relationship Id="rId67" Type="http://schemas.openxmlformats.org/officeDocument/2006/relationships/hyperlink" Target="http://www.fmpadel.com/if_torneos.aspx?IdTorneo=8876" TargetMode="External"/><Relationship Id="rId20" Type="http://schemas.openxmlformats.org/officeDocument/2006/relationships/hyperlink" Target="http://www.fmpadel.com/if_torneos.aspx?IdTorneo=9690" TargetMode="External"/><Relationship Id="rId41" Type="http://schemas.openxmlformats.org/officeDocument/2006/relationships/hyperlink" Target="http://www.fmpadel.com/if_torneos.aspx?IdTorneo=9287" TargetMode="External"/><Relationship Id="rId54" Type="http://schemas.openxmlformats.org/officeDocument/2006/relationships/hyperlink" Target="http://www.fmpadel.com/if_torneos.aspx?IdTorneo=8996" TargetMode="External"/><Relationship Id="rId62" Type="http://schemas.openxmlformats.org/officeDocument/2006/relationships/hyperlink" Target="http://www.fmpadel.com/if_torneos.aspx?IdTorneo=8958" TargetMode="External"/><Relationship Id="rId70" Type="http://schemas.openxmlformats.org/officeDocument/2006/relationships/hyperlink" Target="http://www.fmpadel.com/if_torneos.aspx?IdTorneo=8918" TargetMode="External"/><Relationship Id="rId75" Type="http://schemas.openxmlformats.org/officeDocument/2006/relationships/hyperlink" Target="http://www.fmpadel.com/if_torneos.aspx?IdTorneo=8832" TargetMode="External"/><Relationship Id="rId83" Type="http://schemas.openxmlformats.org/officeDocument/2006/relationships/hyperlink" Target="http://www.fmpadel.com/if_torneos.aspx?IdTorneo=8605" TargetMode="External"/><Relationship Id="rId88" Type="http://schemas.openxmlformats.org/officeDocument/2006/relationships/hyperlink" Target="http://www.fmpadel.com/if_torneos.aspx?IdTorneo=8703" TargetMode="External"/><Relationship Id="rId91" Type="http://schemas.openxmlformats.org/officeDocument/2006/relationships/hyperlink" Target="http://www.fmpadel.com/if_torneos.aspx?IdTorneo=8629" TargetMode="External"/><Relationship Id="rId1" Type="http://schemas.openxmlformats.org/officeDocument/2006/relationships/hyperlink" Target="http://www.fmpadel.com/if_torneos.aspx?IdTorneo=9856" TargetMode="External"/><Relationship Id="rId6" Type="http://schemas.openxmlformats.org/officeDocument/2006/relationships/hyperlink" Target="http://www.fmpadel.com/if_torneos.aspx?IdTorneo=8634" TargetMode="External"/><Relationship Id="rId15" Type="http://schemas.openxmlformats.org/officeDocument/2006/relationships/hyperlink" Target="http://www.fmpadel.com/if_torneos.aspx?IdTorneo=9744" TargetMode="External"/><Relationship Id="rId23" Type="http://schemas.openxmlformats.org/officeDocument/2006/relationships/hyperlink" Target="http://www.fmpadel.com/if_torneos.aspx?IdTorneo=9547" TargetMode="External"/><Relationship Id="rId28" Type="http://schemas.openxmlformats.org/officeDocument/2006/relationships/hyperlink" Target="http://www.fmpadel.com/if_torneos.aspx?IdTorneo=9492" TargetMode="External"/><Relationship Id="rId36" Type="http://schemas.openxmlformats.org/officeDocument/2006/relationships/hyperlink" Target="http://www.fmpadel.com/if_torneos.aspx?IdTorneo=9392" TargetMode="External"/><Relationship Id="rId49" Type="http://schemas.openxmlformats.org/officeDocument/2006/relationships/hyperlink" Target="http://www.fmpadel.com/if_torneos.aspx?IdTorneo=9197" TargetMode="External"/><Relationship Id="rId57" Type="http://schemas.openxmlformats.org/officeDocument/2006/relationships/hyperlink" Target="http://www.fmpadel.com/if_torneos.aspx?IdTorneo=8995" TargetMode="External"/><Relationship Id="rId10" Type="http://schemas.openxmlformats.org/officeDocument/2006/relationships/hyperlink" Target="http://www.fmpadel.com/if_torneos.aspx?IdTorneo=9807" TargetMode="External"/><Relationship Id="rId31" Type="http://schemas.openxmlformats.org/officeDocument/2006/relationships/hyperlink" Target="http://www.fmpadel.com/if_torneos.aspx?IdTorneo=9417" TargetMode="External"/><Relationship Id="rId44" Type="http://schemas.openxmlformats.org/officeDocument/2006/relationships/hyperlink" Target="http://www.fmpadel.com/if_torneos.aspx?IdTorneo=9287" TargetMode="External"/><Relationship Id="rId52" Type="http://schemas.openxmlformats.org/officeDocument/2006/relationships/hyperlink" Target="http://www.fmpadel.com/if_torneos.aspx?IdTorneo=9197" TargetMode="External"/><Relationship Id="rId60" Type="http://schemas.openxmlformats.org/officeDocument/2006/relationships/hyperlink" Target="http://www.fmpadel.com/if_torneos.aspx?IdTorneo=8995" TargetMode="External"/><Relationship Id="rId65" Type="http://schemas.openxmlformats.org/officeDocument/2006/relationships/hyperlink" Target="http://www.fmpadel.com/if_torneos.aspx?IdTorneo=8876" TargetMode="External"/><Relationship Id="rId73" Type="http://schemas.openxmlformats.org/officeDocument/2006/relationships/hyperlink" Target="http://www.fmpadel.com/if_torneos.aspx?IdTorneo=8832" TargetMode="External"/><Relationship Id="rId78" Type="http://schemas.openxmlformats.org/officeDocument/2006/relationships/hyperlink" Target="http://www.fmpadel.com/if_torneos.aspx?IdTorneo=8775" TargetMode="External"/><Relationship Id="rId81" Type="http://schemas.openxmlformats.org/officeDocument/2006/relationships/hyperlink" Target="http://www.fmpadel.com/if_torneos.aspx?IdTorneo=8605" TargetMode="External"/><Relationship Id="rId86" Type="http://schemas.openxmlformats.org/officeDocument/2006/relationships/hyperlink" Target="http://www.fmpadel.com/if_torneos.aspx?IdTorneo=8703" TargetMode="External"/><Relationship Id="rId4" Type="http://schemas.openxmlformats.org/officeDocument/2006/relationships/hyperlink" Target="http://www.fmpadel.com/if_torneos.aspx?IdTorneo=9856" TargetMode="External"/><Relationship Id="rId9" Type="http://schemas.openxmlformats.org/officeDocument/2006/relationships/hyperlink" Target="http://www.fmpadel.com/if_torneos.aspx?IdTorneo=9807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fmpadel.com/if_torneos.aspx?IdTorneo=10599" TargetMode="External"/><Relationship Id="rId18" Type="http://schemas.openxmlformats.org/officeDocument/2006/relationships/hyperlink" Target="http://www.fmpadel.com/if_torneos.aspx?IdTorneo=10541" TargetMode="External"/><Relationship Id="rId26" Type="http://schemas.openxmlformats.org/officeDocument/2006/relationships/hyperlink" Target="http://www.fmpadel.com/if_torneos.aspx?IdTorneo=10443" TargetMode="External"/><Relationship Id="rId39" Type="http://schemas.openxmlformats.org/officeDocument/2006/relationships/hyperlink" Target="http://www.fmpadel.com/if_torneos.aspx?IdTorneo=10297" TargetMode="External"/><Relationship Id="rId21" Type="http://schemas.openxmlformats.org/officeDocument/2006/relationships/hyperlink" Target="http://www.fmpadel.com/if_torneos.aspx?IdTorneo=10406" TargetMode="External"/><Relationship Id="rId34" Type="http://schemas.openxmlformats.org/officeDocument/2006/relationships/hyperlink" Target="http://www.fmpadel.com/if_torneos.aspx?IdTorneo=10254" TargetMode="External"/><Relationship Id="rId42" Type="http://schemas.openxmlformats.org/officeDocument/2006/relationships/hyperlink" Target="http://www.fmpadel.com/if_torneos.aspx?IdTorneo=10251" TargetMode="External"/><Relationship Id="rId47" Type="http://schemas.openxmlformats.org/officeDocument/2006/relationships/hyperlink" Target="http://www.fmpadel.com/if_torneos.aspx?IdTorneo=10220" TargetMode="External"/><Relationship Id="rId50" Type="http://schemas.openxmlformats.org/officeDocument/2006/relationships/hyperlink" Target="http://www.fmpadel.com/if_torneos.aspx?IdTorneo=10050" TargetMode="External"/><Relationship Id="rId55" Type="http://schemas.openxmlformats.org/officeDocument/2006/relationships/hyperlink" Target="http://www.fmpadel.com/if_torneos.aspx?IdTorneo=10087" TargetMode="External"/><Relationship Id="rId63" Type="http://schemas.openxmlformats.org/officeDocument/2006/relationships/hyperlink" Target="http://www.fmpadel.com/if_torneos.aspx?IdTorneo=10000" TargetMode="External"/><Relationship Id="rId68" Type="http://schemas.openxmlformats.org/officeDocument/2006/relationships/hyperlink" Target="http://www.fmpadel.com/if_torneos.aspx?IdTorneo=9867" TargetMode="External"/><Relationship Id="rId76" Type="http://schemas.openxmlformats.org/officeDocument/2006/relationships/ctrlProp" Target="../ctrlProps/ctrlProp1.xml"/><Relationship Id="rId7" Type="http://schemas.openxmlformats.org/officeDocument/2006/relationships/hyperlink" Target="http://www.fmpadel.com/if_torneos.aspx?IdTorneo=10737" TargetMode="External"/><Relationship Id="rId71" Type="http://schemas.openxmlformats.org/officeDocument/2006/relationships/hyperlink" Target="http://www.fmpadel.com/if_torneos.aspx?IdTorneo=9932" TargetMode="External"/><Relationship Id="rId2" Type="http://schemas.openxmlformats.org/officeDocument/2006/relationships/hyperlink" Target="http://www.fmpadel.com/if_torneos.aspx?IdTorneo=10812" TargetMode="External"/><Relationship Id="rId16" Type="http://schemas.openxmlformats.org/officeDocument/2006/relationships/hyperlink" Target="http://www.fmpadel.com/if_torneos.aspx?IdTorneo=10599" TargetMode="External"/><Relationship Id="rId29" Type="http://schemas.openxmlformats.org/officeDocument/2006/relationships/hyperlink" Target="http://www.fmpadel.com/if_torneos.aspx?IdTorneo=10341" TargetMode="External"/><Relationship Id="rId11" Type="http://schemas.openxmlformats.org/officeDocument/2006/relationships/hyperlink" Target="http://www.fmpadel.com/if_torneos.aspx?IdTorneo=10648" TargetMode="External"/><Relationship Id="rId24" Type="http://schemas.openxmlformats.org/officeDocument/2006/relationships/hyperlink" Target="http://www.fmpadel.com/if_torneos.aspx?IdTorneo=10406" TargetMode="External"/><Relationship Id="rId32" Type="http://schemas.openxmlformats.org/officeDocument/2006/relationships/hyperlink" Target="http://www.fmpadel.com/if_torneos.aspx?IdTorneo=10341" TargetMode="External"/><Relationship Id="rId37" Type="http://schemas.openxmlformats.org/officeDocument/2006/relationships/hyperlink" Target="http://www.fmpadel.com/if_torneos.aspx?IdTorneo=10297" TargetMode="External"/><Relationship Id="rId40" Type="http://schemas.openxmlformats.org/officeDocument/2006/relationships/hyperlink" Target="http://www.fmpadel.com/if_torneos.aspx?IdTorneo=10297" TargetMode="External"/><Relationship Id="rId45" Type="http://schemas.openxmlformats.org/officeDocument/2006/relationships/hyperlink" Target="http://www.fmpadel.com/if_torneos.aspx?IdTorneo=10220" TargetMode="External"/><Relationship Id="rId53" Type="http://schemas.openxmlformats.org/officeDocument/2006/relationships/hyperlink" Target="http://www.fmpadel.com/if_torneos.aspx?IdTorneo=10087" TargetMode="External"/><Relationship Id="rId58" Type="http://schemas.openxmlformats.org/officeDocument/2006/relationships/hyperlink" Target="http://www.fmpadel.com/if_torneos.aspx?IdTorneo=10042" TargetMode="External"/><Relationship Id="rId66" Type="http://schemas.openxmlformats.org/officeDocument/2006/relationships/hyperlink" Target="http://www.fmpadel.com/if_torneos.aspx?IdTorneo=9867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://www.fmpadel.com/if_torneos.aspx?IdTorneo=10737" TargetMode="External"/><Relationship Id="rId15" Type="http://schemas.openxmlformats.org/officeDocument/2006/relationships/hyperlink" Target="http://www.fmpadel.com/if_torneos.aspx?IdTorneo=10599" TargetMode="External"/><Relationship Id="rId23" Type="http://schemas.openxmlformats.org/officeDocument/2006/relationships/hyperlink" Target="http://www.fmpadel.com/if_torneos.aspx?IdTorneo=10406" TargetMode="External"/><Relationship Id="rId28" Type="http://schemas.openxmlformats.org/officeDocument/2006/relationships/hyperlink" Target="http://www.fmpadel.com/if_torneos.aspx?IdTorneo=10443" TargetMode="External"/><Relationship Id="rId36" Type="http://schemas.openxmlformats.org/officeDocument/2006/relationships/hyperlink" Target="http://www.fmpadel.com/if_torneos.aspx?IdTorneo=10254" TargetMode="External"/><Relationship Id="rId49" Type="http://schemas.openxmlformats.org/officeDocument/2006/relationships/hyperlink" Target="http://www.fmpadel.com/if_torneos.aspx?IdTorneo=10050" TargetMode="External"/><Relationship Id="rId57" Type="http://schemas.openxmlformats.org/officeDocument/2006/relationships/hyperlink" Target="http://www.fmpadel.com/if_torneos.aspx?IdTorneo=10042" TargetMode="External"/><Relationship Id="rId61" Type="http://schemas.openxmlformats.org/officeDocument/2006/relationships/hyperlink" Target="http://www.fmpadel.com/if_torneos.aspx?IdTorneo=10000" TargetMode="External"/><Relationship Id="rId10" Type="http://schemas.openxmlformats.org/officeDocument/2006/relationships/hyperlink" Target="http://www.fmpadel.com/if_torneos.aspx?IdTorneo=10648" TargetMode="External"/><Relationship Id="rId19" Type="http://schemas.openxmlformats.org/officeDocument/2006/relationships/hyperlink" Target="http://www.fmpadel.com/if_torneos.aspx?IdTorneo=10541" TargetMode="External"/><Relationship Id="rId31" Type="http://schemas.openxmlformats.org/officeDocument/2006/relationships/hyperlink" Target="http://www.fmpadel.com/if_torneos.aspx?IdTorneo=10341" TargetMode="External"/><Relationship Id="rId44" Type="http://schemas.openxmlformats.org/officeDocument/2006/relationships/hyperlink" Target="http://www.fmpadel.com/if_torneos.aspx?IdTorneo=10251" TargetMode="External"/><Relationship Id="rId52" Type="http://schemas.openxmlformats.org/officeDocument/2006/relationships/hyperlink" Target="http://www.fmpadel.com/if_torneos.aspx?IdTorneo=10050" TargetMode="External"/><Relationship Id="rId60" Type="http://schemas.openxmlformats.org/officeDocument/2006/relationships/hyperlink" Target="http://www.fmpadel.com/if_torneos.aspx?IdTorneo=10042" TargetMode="External"/><Relationship Id="rId65" Type="http://schemas.openxmlformats.org/officeDocument/2006/relationships/hyperlink" Target="http://www.fmpadel.com/if_torneos.aspx?IdTorneo=9867" TargetMode="External"/><Relationship Id="rId73" Type="http://schemas.openxmlformats.org/officeDocument/2006/relationships/printerSettings" Target="../printerSettings/printerSettings1.bin"/><Relationship Id="rId4" Type="http://schemas.openxmlformats.org/officeDocument/2006/relationships/hyperlink" Target="http://www.fmpadel.com/if_torneos.aspx?IdTorneo=10812" TargetMode="External"/><Relationship Id="rId9" Type="http://schemas.openxmlformats.org/officeDocument/2006/relationships/hyperlink" Target="http://www.fmpadel.com/if_torneos.aspx?IdTorneo=10648" TargetMode="External"/><Relationship Id="rId14" Type="http://schemas.openxmlformats.org/officeDocument/2006/relationships/hyperlink" Target="http://www.fmpadel.com/if_torneos.aspx?IdTorneo=10599" TargetMode="External"/><Relationship Id="rId22" Type="http://schemas.openxmlformats.org/officeDocument/2006/relationships/hyperlink" Target="http://www.fmpadel.com/if_torneos.aspx?IdTorneo=10406" TargetMode="External"/><Relationship Id="rId27" Type="http://schemas.openxmlformats.org/officeDocument/2006/relationships/hyperlink" Target="http://www.fmpadel.com/if_torneos.aspx?IdTorneo=10443" TargetMode="External"/><Relationship Id="rId30" Type="http://schemas.openxmlformats.org/officeDocument/2006/relationships/hyperlink" Target="http://www.fmpadel.com/if_torneos.aspx?IdTorneo=10341" TargetMode="External"/><Relationship Id="rId35" Type="http://schemas.openxmlformats.org/officeDocument/2006/relationships/hyperlink" Target="http://www.fmpadel.com/if_torneos.aspx?IdTorneo=10254" TargetMode="External"/><Relationship Id="rId43" Type="http://schemas.openxmlformats.org/officeDocument/2006/relationships/hyperlink" Target="http://www.fmpadel.com/if_torneos.aspx?IdTorneo=10251" TargetMode="External"/><Relationship Id="rId48" Type="http://schemas.openxmlformats.org/officeDocument/2006/relationships/hyperlink" Target="http://www.fmpadel.com/if_torneos.aspx?IdTorneo=10220" TargetMode="External"/><Relationship Id="rId56" Type="http://schemas.openxmlformats.org/officeDocument/2006/relationships/hyperlink" Target="http://www.fmpadel.com/if_torneos.aspx?IdTorneo=10087" TargetMode="External"/><Relationship Id="rId64" Type="http://schemas.openxmlformats.org/officeDocument/2006/relationships/hyperlink" Target="http://www.fmpadel.com/if_torneos.aspx?IdTorneo=10000" TargetMode="External"/><Relationship Id="rId69" Type="http://schemas.openxmlformats.org/officeDocument/2006/relationships/hyperlink" Target="http://www.fmpadel.com/if_torneos.aspx?IdTorneo=9932" TargetMode="External"/><Relationship Id="rId8" Type="http://schemas.openxmlformats.org/officeDocument/2006/relationships/hyperlink" Target="http://www.fmpadel.com/if_torneos.aspx?IdTorneo=10737" TargetMode="External"/><Relationship Id="rId51" Type="http://schemas.openxmlformats.org/officeDocument/2006/relationships/hyperlink" Target="http://www.fmpadel.com/if_torneos.aspx?IdTorneo=10050" TargetMode="External"/><Relationship Id="rId72" Type="http://schemas.openxmlformats.org/officeDocument/2006/relationships/hyperlink" Target="http://www.fmpadel.com/if_torneos.aspx?IdTorneo=9932" TargetMode="External"/><Relationship Id="rId3" Type="http://schemas.openxmlformats.org/officeDocument/2006/relationships/hyperlink" Target="http://www.fmpadel.com/if_torneos.aspx?IdTorneo=10812" TargetMode="External"/><Relationship Id="rId12" Type="http://schemas.openxmlformats.org/officeDocument/2006/relationships/hyperlink" Target="http://www.fmpadel.com/if_torneos.aspx?IdTorneo=10648" TargetMode="External"/><Relationship Id="rId17" Type="http://schemas.openxmlformats.org/officeDocument/2006/relationships/hyperlink" Target="http://www.fmpadel.com/if_torneos.aspx?IdTorneo=10541" TargetMode="External"/><Relationship Id="rId25" Type="http://schemas.openxmlformats.org/officeDocument/2006/relationships/hyperlink" Target="http://www.fmpadel.com/if_torneos.aspx?IdTorneo=10443" TargetMode="External"/><Relationship Id="rId33" Type="http://schemas.openxmlformats.org/officeDocument/2006/relationships/hyperlink" Target="http://www.fmpadel.com/if_torneos.aspx?IdTorneo=10254" TargetMode="External"/><Relationship Id="rId38" Type="http://schemas.openxmlformats.org/officeDocument/2006/relationships/hyperlink" Target="http://www.fmpadel.com/if_torneos.aspx?IdTorneo=10297" TargetMode="External"/><Relationship Id="rId46" Type="http://schemas.openxmlformats.org/officeDocument/2006/relationships/hyperlink" Target="http://www.fmpadel.com/if_torneos.aspx?IdTorneo=10220" TargetMode="External"/><Relationship Id="rId59" Type="http://schemas.openxmlformats.org/officeDocument/2006/relationships/hyperlink" Target="http://www.fmpadel.com/if_torneos.aspx?IdTorneo=10042" TargetMode="External"/><Relationship Id="rId67" Type="http://schemas.openxmlformats.org/officeDocument/2006/relationships/hyperlink" Target="http://www.fmpadel.com/if_torneos.aspx?IdTorneo=9867" TargetMode="External"/><Relationship Id="rId20" Type="http://schemas.openxmlformats.org/officeDocument/2006/relationships/hyperlink" Target="http://www.fmpadel.com/if_torneos.aspx?IdTorneo=10541" TargetMode="External"/><Relationship Id="rId41" Type="http://schemas.openxmlformats.org/officeDocument/2006/relationships/hyperlink" Target="http://www.fmpadel.com/if_torneos.aspx?IdTorneo=10251" TargetMode="External"/><Relationship Id="rId54" Type="http://schemas.openxmlformats.org/officeDocument/2006/relationships/hyperlink" Target="http://www.fmpadel.com/if_torneos.aspx?IdTorneo=10087" TargetMode="External"/><Relationship Id="rId62" Type="http://schemas.openxmlformats.org/officeDocument/2006/relationships/hyperlink" Target="http://www.fmpadel.com/if_torneos.aspx?IdTorneo=10000" TargetMode="External"/><Relationship Id="rId70" Type="http://schemas.openxmlformats.org/officeDocument/2006/relationships/hyperlink" Target="http://www.fmpadel.com/if_torneos.aspx?IdTorneo=9932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://www.fmpadel.com/if_torneos.aspx?IdTorneo=10812" TargetMode="External"/><Relationship Id="rId6" Type="http://schemas.openxmlformats.org/officeDocument/2006/relationships/hyperlink" Target="http://www.fmpadel.com/if_torneos.aspx?IdTorneo=10737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G25"/>
  <sheetViews>
    <sheetView workbookViewId="0"/>
  </sheetViews>
  <sheetFormatPr baseColWidth="10" defaultRowHeight="15" x14ac:dyDescent="0.25"/>
  <cols>
    <col min="2" max="2" width="10.7109375" bestFit="1" customWidth="1"/>
    <col min="3" max="3" width="70" bestFit="1" customWidth="1"/>
    <col min="4" max="4" width="13.7109375" bestFit="1" customWidth="1"/>
    <col min="5" max="5" width="27.28515625" bestFit="1" customWidth="1"/>
    <col min="6" max="6" width="28.7109375" bestFit="1" customWidth="1"/>
  </cols>
  <sheetData>
    <row r="1" spans="1:7" ht="15" customHeight="1" x14ac:dyDescent="0.25">
      <c r="A1" s="4" t="s">
        <v>1</v>
      </c>
      <c r="B1" s="4" t="s">
        <v>2</v>
      </c>
      <c r="C1" s="5" t="s">
        <v>3</v>
      </c>
      <c r="D1" s="5" t="s">
        <v>4</v>
      </c>
      <c r="E1" s="5" t="s">
        <v>5</v>
      </c>
      <c r="F1" s="5" t="s">
        <v>6</v>
      </c>
      <c r="G1" s="5"/>
    </row>
    <row r="2" spans="1:7" ht="15" customHeight="1" x14ac:dyDescent="0.25">
      <c r="A2" s="3">
        <v>42371</v>
      </c>
      <c r="B2" s="3">
        <v>42373</v>
      </c>
      <c r="C2" s="2" t="s">
        <v>118</v>
      </c>
      <c r="D2" s="2" t="s">
        <v>11</v>
      </c>
      <c r="E2" s="2" t="s">
        <v>18</v>
      </c>
      <c r="F2" s="2" t="s">
        <v>27</v>
      </c>
    </row>
    <row r="3" spans="1:7" ht="15" customHeight="1" x14ac:dyDescent="0.25">
      <c r="A3" s="3">
        <v>42713</v>
      </c>
      <c r="B3" s="3">
        <v>42717</v>
      </c>
      <c r="C3" s="2" t="s">
        <v>137</v>
      </c>
      <c r="D3" s="2" t="s">
        <v>11</v>
      </c>
      <c r="E3" s="2" t="s">
        <v>7</v>
      </c>
      <c r="F3" s="2" t="s">
        <v>8</v>
      </c>
    </row>
    <row r="4" spans="1:7" ht="15" customHeight="1" x14ac:dyDescent="0.25">
      <c r="A4" s="3">
        <v>42701</v>
      </c>
      <c r="B4" s="3">
        <v>42703</v>
      </c>
      <c r="C4" s="2" t="s">
        <v>125</v>
      </c>
      <c r="D4" s="2" t="s">
        <v>11</v>
      </c>
      <c r="E4" s="2" t="s">
        <v>138</v>
      </c>
      <c r="F4" s="2" t="s">
        <v>139</v>
      </c>
    </row>
    <row r="5" spans="1:7" ht="15" customHeight="1" x14ac:dyDescent="0.25">
      <c r="A5" s="3">
        <v>42687</v>
      </c>
      <c r="B5" s="3">
        <v>42689</v>
      </c>
      <c r="C5" s="2" t="s">
        <v>121</v>
      </c>
      <c r="D5" s="2" t="s">
        <v>11</v>
      </c>
      <c r="E5" s="2" t="s">
        <v>140</v>
      </c>
      <c r="F5" s="2" t="s">
        <v>141</v>
      </c>
    </row>
    <row r="6" spans="1:7" ht="15" customHeight="1" x14ac:dyDescent="0.25">
      <c r="A6" s="3">
        <v>42673</v>
      </c>
      <c r="B6" s="3">
        <v>42675</v>
      </c>
      <c r="C6" s="2" t="s">
        <v>119</v>
      </c>
      <c r="D6" s="2" t="s">
        <v>11</v>
      </c>
      <c r="E6" s="2" t="s">
        <v>9</v>
      </c>
      <c r="F6" s="2" t="s">
        <v>43</v>
      </c>
    </row>
    <row r="7" spans="1:7" ht="15" customHeight="1" x14ac:dyDescent="0.25">
      <c r="A7" s="3">
        <v>42645</v>
      </c>
      <c r="B7" s="3">
        <v>42647</v>
      </c>
      <c r="C7" s="2" t="s">
        <v>142</v>
      </c>
      <c r="D7" s="2" t="s">
        <v>11</v>
      </c>
      <c r="E7" s="2" t="s">
        <v>20</v>
      </c>
      <c r="F7" s="2" t="s">
        <v>21</v>
      </c>
    </row>
    <row r="8" spans="1:7" ht="15" customHeight="1" x14ac:dyDescent="0.25">
      <c r="A8" s="3">
        <v>42631</v>
      </c>
      <c r="B8" s="3">
        <v>42633</v>
      </c>
      <c r="C8" s="2" t="s">
        <v>143</v>
      </c>
      <c r="D8" s="2" t="s">
        <v>11</v>
      </c>
      <c r="E8" s="2" t="s">
        <v>144</v>
      </c>
      <c r="F8" s="2" t="s">
        <v>145</v>
      </c>
    </row>
    <row r="9" spans="1:7" ht="15" customHeight="1" x14ac:dyDescent="0.25">
      <c r="A9" s="3">
        <v>42624</v>
      </c>
      <c r="B9" s="3">
        <v>42626</v>
      </c>
      <c r="C9" s="2" t="s">
        <v>146</v>
      </c>
      <c r="D9" s="2" t="s">
        <v>11</v>
      </c>
      <c r="E9" s="2" t="s">
        <v>24</v>
      </c>
      <c r="F9" s="2" t="s">
        <v>25</v>
      </c>
    </row>
    <row r="10" spans="1:7" ht="15" customHeight="1" x14ac:dyDescent="0.25">
      <c r="A10" s="3">
        <v>42610</v>
      </c>
      <c r="B10" s="3">
        <v>42612</v>
      </c>
      <c r="C10" s="2" t="s">
        <v>132</v>
      </c>
      <c r="D10" s="2" t="s">
        <v>11</v>
      </c>
      <c r="E10" s="2" t="s">
        <v>18</v>
      </c>
      <c r="F10" s="2" t="s">
        <v>27</v>
      </c>
    </row>
    <row r="11" spans="1:7" ht="15" customHeight="1" x14ac:dyDescent="0.25">
      <c r="A11" s="3">
        <v>42561</v>
      </c>
      <c r="B11" s="3">
        <v>42563</v>
      </c>
      <c r="C11" s="2" t="s">
        <v>134</v>
      </c>
      <c r="D11" s="2" t="s">
        <v>11</v>
      </c>
      <c r="E11" s="2" t="s">
        <v>12</v>
      </c>
      <c r="F11" s="2" t="s">
        <v>38</v>
      </c>
    </row>
    <row r="12" spans="1:7" ht="15" customHeight="1" x14ac:dyDescent="0.25">
      <c r="A12" s="3">
        <v>42554</v>
      </c>
      <c r="B12" s="3">
        <v>42556</v>
      </c>
      <c r="C12" s="2" t="s">
        <v>126</v>
      </c>
      <c r="D12" s="2" t="s">
        <v>11</v>
      </c>
      <c r="E12" s="2" t="s">
        <v>147</v>
      </c>
      <c r="F12" s="2" t="s">
        <v>148</v>
      </c>
    </row>
    <row r="13" spans="1:7" ht="15" customHeight="1" x14ac:dyDescent="0.25">
      <c r="A13" s="3">
        <v>42539</v>
      </c>
      <c r="B13" s="3">
        <v>42542</v>
      </c>
      <c r="C13" s="2" t="s">
        <v>31</v>
      </c>
      <c r="D13" s="2" t="s">
        <v>11</v>
      </c>
      <c r="E13" s="2" t="s">
        <v>12</v>
      </c>
      <c r="F13" s="2" t="s">
        <v>13</v>
      </c>
    </row>
    <row r="14" spans="1:7" ht="15" customHeight="1" x14ac:dyDescent="0.25">
      <c r="A14" s="3">
        <v>42526</v>
      </c>
      <c r="B14" s="3">
        <v>42528</v>
      </c>
      <c r="C14" s="2" t="s">
        <v>124</v>
      </c>
      <c r="D14" s="2" t="s">
        <v>11</v>
      </c>
      <c r="E14" s="2" t="s">
        <v>20</v>
      </c>
      <c r="F14" s="2" t="s">
        <v>21</v>
      </c>
    </row>
    <row r="15" spans="1:7" ht="15" customHeight="1" x14ac:dyDescent="0.25">
      <c r="A15" s="3">
        <v>42498</v>
      </c>
      <c r="B15" s="3">
        <v>42500</v>
      </c>
      <c r="C15" s="2" t="s">
        <v>133</v>
      </c>
      <c r="D15" s="2" t="s">
        <v>11</v>
      </c>
      <c r="E15" s="2" t="s">
        <v>24</v>
      </c>
      <c r="F15" s="2" t="s">
        <v>25</v>
      </c>
    </row>
    <row r="16" spans="1:7" ht="15" customHeight="1" x14ac:dyDescent="0.25">
      <c r="A16" s="3">
        <v>42484</v>
      </c>
      <c r="B16" s="3">
        <v>42486</v>
      </c>
      <c r="C16" s="2" t="s">
        <v>34</v>
      </c>
      <c r="D16" s="2" t="s">
        <v>11</v>
      </c>
      <c r="E16" s="2" t="s">
        <v>24</v>
      </c>
      <c r="F16" s="2" t="s">
        <v>25</v>
      </c>
    </row>
    <row r="17" spans="1:6" ht="15" customHeight="1" x14ac:dyDescent="0.25">
      <c r="A17" s="3">
        <v>42477</v>
      </c>
      <c r="B17" s="3">
        <v>42479</v>
      </c>
      <c r="C17" s="2" t="s">
        <v>127</v>
      </c>
      <c r="D17" s="2" t="s">
        <v>11</v>
      </c>
      <c r="E17" s="2" t="s">
        <v>18</v>
      </c>
      <c r="F17" s="2" t="s">
        <v>27</v>
      </c>
    </row>
    <row r="18" spans="1:6" ht="15" customHeight="1" x14ac:dyDescent="0.25">
      <c r="A18" s="3">
        <v>42456</v>
      </c>
      <c r="B18" s="3">
        <v>42458</v>
      </c>
      <c r="C18" s="2" t="s">
        <v>128</v>
      </c>
      <c r="D18" s="2" t="s">
        <v>11</v>
      </c>
      <c r="E18" s="2" t="s">
        <v>138</v>
      </c>
      <c r="F18" s="2" t="s">
        <v>139</v>
      </c>
    </row>
    <row r="19" spans="1:6" ht="15" customHeight="1" x14ac:dyDescent="0.25">
      <c r="A19" s="3">
        <v>42449</v>
      </c>
      <c r="B19" s="3">
        <v>42451</v>
      </c>
      <c r="C19" s="2" t="s">
        <v>149</v>
      </c>
      <c r="D19" s="2" t="s">
        <v>11</v>
      </c>
      <c r="E19" s="2" t="s">
        <v>138</v>
      </c>
      <c r="F19" s="2" t="s">
        <v>139</v>
      </c>
    </row>
    <row r="20" spans="1:6" ht="15" customHeight="1" x14ac:dyDescent="0.25">
      <c r="A20" s="3">
        <v>42435</v>
      </c>
      <c r="B20" s="3">
        <v>42437</v>
      </c>
      <c r="C20" s="2" t="s">
        <v>129</v>
      </c>
      <c r="D20" s="2" t="s">
        <v>11</v>
      </c>
      <c r="E20" s="2" t="s">
        <v>12</v>
      </c>
      <c r="F20" s="2" t="s">
        <v>38</v>
      </c>
    </row>
    <row r="21" spans="1:6" ht="15" customHeight="1" x14ac:dyDescent="0.25">
      <c r="A21" s="3">
        <v>42413</v>
      </c>
      <c r="B21" s="3">
        <v>42415</v>
      </c>
      <c r="C21" s="2" t="s">
        <v>130</v>
      </c>
      <c r="D21" s="2" t="s">
        <v>11</v>
      </c>
      <c r="E21" s="2" t="s">
        <v>24</v>
      </c>
      <c r="F21" s="2" t="s">
        <v>25</v>
      </c>
    </row>
    <row r="22" spans="1:6" ht="15" customHeight="1" x14ac:dyDescent="0.25">
      <c r="A22" s="3">
        <v>42392</v>
      </c>
      <c r="B22" s="3">
        <v>42394</v>
      </c>
      <c r="C22" s="2" t="s">
        <v>131</v>
      </c>
      <c r="D22" s="2" t="s">
        <v>11</v>
      </c>
      <c r="E22" s="2" t="s">
        <v>12</v>
      </c>
      <c r="F22" s="2" t="s">
        <v>13</v>
      </c>
    </row>
    <row r="23" spans="1:6" ht="15" customHeight="1" x14ac:dyDescent="0.25">
      <c r="A23" s="3">
        <v>42385</v>
      </c>
      <c r="B23" s="3">
        <v>42387</v>
      </c>
      <c r="C23" s="2" t="s">
        <v>45</v>
      </c>
      <c r="D23" s="2" t="s">
        <v>11</v>
      </c>
      <c r="E23" s="2" t="s">
        <v>12</v>
      </c>
      <c r="F23" s="2" t="s">
        <v>13</v>
      </c>
    </row>
    <row r="24" spans="1:6" ht="15" customHeight="1" x14ac:dyDescent="0.25">
      <c r="A24" s="3">
        <v>42371</v>
      </c>
      <c r="B24" s="3">
        <v>42373</v>
      </c>
      <c r="C24" s="2" t="s">
        <v>122</v>
      </c>
      <c r="D24" s="2" t="s">
        <v>11</v>
      </c>
      <c r="E24" s="2" t="s">
        <v>18</v>
      </c>
      <c r="F24" s="2" t="s">
        <v>150</v>
      </c>
    </row>
    <row r="25" spans="1:6" ht="15" customHeight="1" x14ac:dyDescent="0.25"/>
  </sheetData>
  <autoFilter ref="A1:F24"/>
  <hyperlinks>
    <hyperlink ref="C2" r:id="rId1" display="http://www.fmpadel.com/if_torneos.aspx?IdTorneo=9856"/>
    <hyperlink ref="D2" r:id="rId2" display="http://www.fmpadel.com/if_torneos.aspx?IdTorneo=9856"/>
    <hyperlink ref="E2" r:id="rId3" display="http://www.fmpadel.com/if_torneos.aspx?IdTorneo=9856"/>
    <hyperlink ref="F2" r:id="rId4" display="http://www.fmpadel.com/if_torneos.aspx?IdTorneo=9856"/>
    <hyperlink ref="C3" r:id="rId5" display="http://www.fmpadel.com/if_torneos.aspx?IdTorneo=8634"/>
    <hyperlink ref="D3" r:id="rId6" display="http://www.fmpadel.com/if_torneos.aspx?IdTorneo=8634"/>
    <hyperlink ref="E3" r:id="rId7" display="http://www.fmpadel.com/if_torneos.aspx?IdTorneo=8634"/>
    <hyperlink ref="F3" r:id="rId8" display="http://www.fmpadel.com/if_torneos.aspx?IdTorneo=8634"/>
    <hyperlink ref="C4" r:id="rId9" display="http://www.fmpadel.com/if_torneos.aspx?IdTorneo=9807"/>
    <hyperlink ref="D4" r:id="rId10" display="http://www.fmpadel.com/if_torneos.aspx?IdTorneo=9807"/>
    <hyperlink ref="E4" r:id="rId11" display="http://www.fmpadel.com/if_torneos.aspx?IdTorneo=9807"/>
    <hyperlink ref="F4" r:id="rId12" display="http://www.fmpadel.com/if_torneos.aspx?IdTorneo=9807"/>
    <hyperlink ref="C5" r:id="rId13" display="http://www.fmpadel.com/if_torneos.aspx?IdTorneo=9744"/>
    <hyperlink ref="D5" r:id="rId14" display="http://www.fmpadel.com/if_torneos.aspx?IdTorneo=9744"/>
    <hyperlink ref="E5" r:id="rId15" display="http://www.fmpadel.com/if_torneos.aspx?IdTorneo=9744"/>
    <hyperlink ref="F5" r:id="rId16" display="http://www.fmpadel.com/if_torneos.aspx?IdTorneo=9744"/>
    <hyperlink ref="C6" r:id="rId17" display="http://www.fmpadel.com/if_torneos.aspx?IdTorneo=9690"/>
    <hyperlink ref="D6" r:id="rId18" display="http://www.fmpadel.com/if_torneos.aspx?IdTorneo=9690"/>
    <hyperlink ref="E6" r:id="rId19" display="http://www.fmpadel.com/if_torneos.aspx?IdTorneo=9690"/>
    <hyperlink ref="F6" r:id="rId20" display="http://www.fmpadel.com/if_torneos.aspx?IdTorneo=9690"/>
    <hyperlink ref="C7" r:id="rId21" display="http://www.fmpadel.com/if_torneos.aspx?IdTorneo=9547"/>
    <hyperlink ref="D7" r:id="rId22" display="http://www.fmpadel.com/if_torneos.aspx?IdTorneo=9547"/>
    <hyperlink ref="E7" r:id="rId23" display="http://www.fmpadel.com/if_torneos.aspx?IdTorneo=9547"/>
    <hyperlink ref="F7" r:id="rId24" display="http://www.fmpadel.com/if_torneos.aspx?IdTorneo=9547"/>
    <hyperlink ref="C8" r:id="rId25" display="http://www.fmpadel.com/if_torneos.aspx?IdTorneo=9492"/>
    <hyperlink ref="D8" r:id="rId26" display="http://www.fmpadel.com/if_torneos.aspx?IdTorneo=9492"/>
    <hyperlink ref="E8" r:id="rId27" display="http://www.fmpadel.com/if_torneos.aspx?IdTorneo=9492"/>
    <hyperlink ref="F8" r:id="rId28" display="http://www.fmpadel.com/if_torneos.aspx?IdTorneo=9492"/>
    <hyperlink ref="C9" r:id="rId29" display="http://www.fmpadel.com/if_torneos.aspx?IdTorneo=9417"/>
    <hyperlink ref="D9" r:id="rId30" display="http://www.fmpadel.com/if_torneos.aspx?IdTorneo=9417"/>
    <hyperlink ref="E9" r:id="rId31" display="http://www.fmpadel.com/if_torneos.aspx?IdTorneo=9417"/>
    <hyperlink ref="F9" r:id="rId32" display="http://www.fmpadel.com/if_torneos.aspx?IdTorneo=9417"/>
    <hyperlink ref="C10" r:id="rId33" display="http://www.fmpadel.com/if_torneos.aspx?IdTorneo=9392"/>
    <hyperlink ref="D10" r:id="rId34" display="http://www.fmpadel.com/if_torneos.aspx?IdTorneo=9392"/>
    <hyperlink ref="E10" r:id="rId35" display="http://www.fmpadel.com/if_torneos.aspx?IdTorneo=9392"/>
    <hyperlink ref="F10" r:id="rId36" display="http://www.fmpadel.com/if_torneos.aspx?IdTorneo=9392"/>
    <hyperlink ref="C11" r:id="rId37" display="http://www.fmpadel.com/if_torneos.aspx?IdTorneo=9343"/>
    <hyperlink ref="D11" r:id="rId38" display="http://www.fmpadel.com/if_torneos.aspx?IdTorneo=9343"/>
    <hyperlink ref="E11" r:id="rId39" display="http://www.fmpadel.com/if_torneos.aspx?IdTorneo=9343"/>
    <hyperlink ref="F11" r:id="rId40" display="http://www.fmpadel.com/if_torneos.aspx?IdTorneo=9343"/>
    <hyperlink ref="C12" r:id="rId41" display="http://www.fmpadel.com/if_torneos.aspx?IdTorneo=9287"/>
    <hyperlink ref="D12" r:id="rId42" display="http://www.fmpadel.com/if_torneos.aspx?IdTorneo=9287"/>
    <hyperlink ref="E12" r:id="rId43" display="http://www.fmpadel.com/if_torneos.aspx?IdTorneo=9287"/>
    <hyperlink ref="F12" r:id="rId44" display="http://www.fmpadel.com/if_torneos.aspx?IdTorneo=9287"/>
    <hyperlink ref="C13" r:id="rId45" display="http://www.fmpadel.com/if_torneos.aspx?IdTorneo=9260"/>
    <hyperlink ref="D13" r:id="rId46" display="http://www.fmpadel.com/if_torneos.aspx?IdTorneo=9260"/>
    <hyperlink ref="E13" r:id="rId47" display="http://www.fmpadel.com/if_torneos.aspx?IdTorneo=9260"/>
    <hyperlink ref="F13" r:id="rId48" display="http://www.fmpadel.com/if_torneos.aspx?IdTorneo=9260"/>
    <hyperlink ref="C14" r:id="rId49" display="http://www.fmpadel.com/if_torneos.aspx?IdTorneo=9197"/>
    <hyperlink ref="D14" r:id="rId50" display="http://www.fmpadel.com/if_torneos.aspx?IdTorneo=9197"/>
    <hyperlink ref="E14" r:id="rId51" display="http://www.fmpadel.com/if_torneos.aspx?IdTorneo=9197"/>
    <hyperlink ref="F14" r:id="rId52" display="http://www.fmpadel.com/if_torneos.aspx?IdTorneo=9197"/>
    <hyperlink ref="C15" r:id="rId53" display="http://www.fmpadel.com/if_torneos.aspx?IdTorneo=8996"/>
    <hyperlink ref="D15" r:id="rId54" display="http://www.fmpadel.com/if_torneos.aspx?IdTorneo=8996"/>
    <hyperlink ref="E15" r:id="rId55" display="http://www.fmpadel.com/if_torneos.aspx?IdTorneo=8996"/>
    <hyperlink ref="F15" r:id="rId56" display="http://www.fmpadel.com/if_torneos.aspx?IdTorneo=8996"/>
    <hyperlink ref="C16" r:id="rId57" display="http://www.fmpadel.com/if_torneos.aspx?IdTorneo=8995"/>
    <hyperlink ref="D16" r:id="rId58" display="http://www.fmpadel.com/if_torneos.aspx?IdTorneo=8995"/>
    <hyperlink ref="E16" r:id="rId59" display="http://www.fmpadel.com/if_torneos.aspx?IdTorneo=8995"/>
    <hyperlink ref="F16" r:id="rId60" display="http://www.fmpadel.com/if_torneos.aspx?IdTorneo=8995"/>
    <hyperlink ref="C17" r:id="rId61" display="http://www.fmpadel.com/if_torneos.aspx?IdTorneo=8958"/>
    <hyperlink ref="D17" r:id="rId62" display="http://www.fmpadel.com/if_torneos.aspx?IdTorneo=8958"/>
    <hyperlink ref="E17" r:id="rId63" display="http://www.fmpadel.com/if_torneos.aspx?IdTorneo=8958"/>
    <hyperlink ref="F17" r:id="rId64" display="http://www.fmpadel.com/if_torneos.aspx?IdTorneo=8958"/>
    <hyperlink ref="C18" r:id="rId65" display="http://www.fmpadel.com/if_torneos.aspx?IdTorneo=8876"/>
    <hyperlink ref="D18" r:id="rId66" display="http://www.fmpadel.com/if_torneos.aspx?IdTorneo=8876"/>
    <hyperlink ref="E18" r:id="rId67" display="http://www.fmpadel.com/if_torneos.aspx?IdTorneo=8876"/>
    <hyperlink ref="F18" r:id="rId68" display="http://www.fmpadel.com/if_torneos.aspx?IdTorneo=8876"/>
    <hyperlink ref="C19" r:id="rId69" display="http://www.fmpadel.com/if_torneos.aspx?IdTorneo=8918"/>
    <hyperlink ref="D19" r:id="rId70" display="http://www.fmpadel.com/if_torneos.aspx?IdTorneo=8918"/>
    <hyperlink ref="E19" r:id="rId71" display="http://www.fmpadel.com/if_torneos.aspx?IdTorneo=8918"/>
    <hyperlink ref="F19" r:id="rId72" display="http://www.fmpadel.com/if_torneos.aspx?IdTorneo=8918"/>
    <hyperlink ref="C20" r:id="rId73" display="http://www.fmpadel.com/if_torneos.aspx?IdTorneo=8832"/>
    <hyperlink ref="D20" r:id="rId74" display="http://www.fmpadel.com/if_torneos.aspx?IdTorneo=8832"/>
    <hyperlink ref="E20" r:id="rId75" display="http://www.fmpadel.com/if_torneos.aspx?IdTorneo=8832"/>
    <hyperlink ref="F20" r:id="rId76" display="http://www.fmpadel.com/if_torneos.aspx?IdTorneo=8832"/>
    <hyperlink ref="C21" r:id="rId77" display="http://www.fmpadel.com/if_torneos.aspx?IdTorneo=8775"/>
    <hyperlink ref="D21" r:id="rId78" display="http://www.fmpadel.com/if_torneos.aspx?IdTorneo=8775"/>
    <hyperlink ref="E21" r:id="rId79" display="http://www.fmpadel.com/if_torneos.aspx?IdTorneo=8775"/>
    <hyperlink ref="F21" r:id="rId80" display="http://www.fmpadel.com/if_torneos.aspx?IdTorneo=8775"/>
    <hyperlink ref="C22" r:id="rId81" display="http://www.fmpadel.com/if_torneos.aspx?IdTorneo=8605"/>
    <hyperlink ref="D22" r:id="rId82" display="http://www.fmpadel.com/if_torneos.aspx?IdTorneo=8605"/>
    <hyperlink ref="E22" r:id="rId83" display="http://www.fmpadel.com/if_torneos.aspx?IdTorneo=8605"/>
    <hyperlink ref="F22" r:id="rId84" display="http://www.fmpadel.com/if_torneos.aspx?IdTorneo=8605"/>
    <hyperlink ref="C23" r:id="rId85" display="http://www.fmpadel.com/if_torneos.aspx?IdTorneo=8703"/>
    <hyperlink ref="D23" r:id="rId86" display="http://www.fmpadel.com/if_torneos.aspx?IdTorneo=8703"/>
    <hyperlink ref="E23" r:id="rId87" display="http://www.fmpadel.com/if_torneos.aspx?IdTorneo=8703"/>
    <hyperlink ref="F23" r:id="rId88" display="http://www.fmpadel.com/if_torneos.aspx?IdTorneo=8703"/>
    <hyperlink ref="C24" r:id="rId89" display="http://www.fmpadel.com/if_torneos.aspx?IdTorneo=8629"/>
    <hyperlink ref="D24" r:id="rId90" display="http://www.fmpadel.com/if_torneos.aspx?IdTorneo=8629"/>
    <hyperlink ref="E24" r:id="rId91" display="http://www.fmpadel.com/if_torneos.aspx?IdTorneo=8629"/>
    <hyperlink ref="F24" r:id="rId92" display="http://www.fmpadel.com/if_torneos.aspx?IdTorneo=8629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19"/>
  <sheetViews>
    <sheetView tabSelected="1" workbookViewId="0">
      <selection activeCell="G13" sqref="G13"/>
    </sheetView>
  </sheetViews>
  <sheetFormatPr baseColWidth="10" defaultRowHeight="15" customHeight="1" x14ac:dyDescent="0.25"/>
  <cols>
    <col min="2" max="2" width="10.7109375" bestFit="1" customWidth="1"/>
    <col min="3" max="3" width="50.7109375" customWidth="1"/>
    <col min="4" max="4" width="13.7109375" bestFit="1" customWidth="1"/>
    <col min="5" max="5" width="27.28515625" bestFit="1" customWidth="1"/>
    <col min="6" max="6" width="28.7109375" bestFit="1" customWidth="1"/>
  </cols>
  <sheetData>
    <row r="1" spans="1:7" ht="15" customHeight="1" x14ac:dyDescent="0.25">
      <c r="A1" s="4" t="s">
        <v>1</v>
      </c>
      <c r="B1" s="4" t="s">
        <v>2</v>
      </c>
      <c r="C1" s="5" t="s">
        <v>3</v>
      </c>
      <c r="D1" s="5" t="s">
        <v>4</v>
      </c>
      <c r="E1" s="5" t="s">
        <v>5</v>
      </c>
      <c r="F1" s="5" t="s">
        <v>6</v>
      </c>
      <c r="G1" s="5" t="s">
        <v>0</v>
      </c>
    </row>
    <row r="2" spans="1:7" ht="15" customHeight="1" x14ac:dyDescent="0.25">
      <c r="A2" s="3">
        <v>42684</v>
      </c>
      <c r="B2" s="3">
        <v>42687</v>
      </c>
      <c r="C2" s="2" t="s">
        <v>10</v>
      </c>
      <c r="D2" s="2" t="s">
        <v>11</v>
      </c>
      <c r="E2" s="2" t="s">
        <v>12</v>
      </c>
      <c r="F2" s="2" t="s">
        <v>13</v>
      </c>
      <c r="G2">
        <v>10812</v>
      </c>
    </row>
    <row r="3" spans="1:7" ht="15" customHeight="1" x14ac:dyDescent="0.25">
      <c r="A3" s="3">
        <v>42670</v>
      </c>
      <c r="B3" s="3">
        <v>42673</v>
      </c>
      <c r="C3" s="2" t="s">
        <v>14</v>
      </c>
      <c r="D3" s="2" t="s">
        <v>11</v>
      </c>
      <c r="E3" s="2" t="s">
        <v>15</v>
      </c>
      <c r="F3" s="2" t="s">
        <v>16</v>
      </c>
      <c r="G3">
        <v>10737</v>
      </c>
    </row>
    <row r="4" spans="1:7" ht="15" customHeight="1" x14ac:dyDescent="0.25">
      <c r="A4" s="3">
        <v>42642</v>
      </c>
      <c r="B4" s="3">
        <v>42645</v>
      </c>
      <c r="C4" s="2" t="s">
        <v>19</v>
      </c>
      <c r="D4" s="2" t="s">
        <v>11</v>
      </c>
      <c r="E4" s="2" t="s">
        <v>20</v>
      </c>
      <c r="F4" s="2" t="s">
        <v>21</v>
      </c>
      <c r="G4">
        <v>10648</v>
      </c>
    </row>
    <row r="5" spans="1:7" ht="15" customHeight="1" x14ac:dyDescent="0.25">
      <c r="A5" s="3">
        <v>42621</v>
      </c>
      <c r="B5" s="3">
        <v>42624</v>
      </c>
      <c r="C5" s="2" t="s">
        <v>26</v>
      </c>
      <c r="D5" s="2" t="s">
        <v>11</v>
      </c>
      <c r="E5" s="2" t="s">
        <v>24</v>
      </c>
      <c r="F5" s="2" t="s">
        <v>25</v>
      </c>
      <c r="G5">
        <v>10599</v>
      </c>
    </row>
    <row r="6" spans="1:7" ht="15" customHeight="1" x14ac:dyDescent="0.25">
      <c r="A6" s="3">
        <v>42607</v>
      </c>
      <c r="B6" s="3">
        <v>42610</v>
      </c>
      <c r="C6" s="2" t="s">
        <v>28</v>
      </c>
      <c r="D6" s="2" t="s">
        <v>11</v>
      </c>
      <c r="E6" s="2" t="s">
        <v>18</v>
      </c>
      <c r="F6" s="2" t="s">
        <v>27</v>
      </c>
      <c r="G6">
        <v>10541</v>
      </c>
    </row>
    <row r="7" spans="1:7" ht="15" customHeight="1" x14ac:dyDescent="0.25">
      <c r="A7" s="3">
        <v>42551</v>
      </c>
      <c r="B7" s="3">
        <v>42554</v>
      </c>
      <c r="C7" s="2" t="s">
        <v>29</v>
      </c>
      <c r="D7" s="2" t="s">
        <v>11</v>
      </c>
      <c r="E7" s="2" t="s">
        <v>20</v>
      </c>
      <c r="F7" s="2" t="s">
        <v>30</v>
      </c>
      <c r="G7">
        <v>10406</v>
      </c>
    </row>
    <row r="8" spans="1:7" ht="15" customHeight="1" x14ac:dyDescent="0.25">
      <c r="A8" s="3">
        <v>42537</v>
      </c>
      <c r="B8" s="3">
        <v>42540</v>
      </c>
      <c r="C8" s="2" t="s">
        <v>31</v>
      </c>
      <c r="D8" s="2" t="s">
        <v>11</v>
      </c>
      <c r="E8" s="2" t="s">
        <v>12</v>
      </c>
      <c r="F8" s="2" t="s">
        <v>13</v>
      </c>
      <c r="G8">
        <v>10443</v>
      </c>
    </row>
    <row r="9" spans="1:7" ht="15" customHeight="1" x14ac:dyDescent="0.25">
      <c r="A9" s="3">
        <v>42523</v>
      </c>
      <c r="B9" s="3">
        <v>42526</v>
      </c>
      <c r="C9" s="2" t="s">
        <v>32</v>
      </c>
      <c r="D9" s="2" t="s">
        <v>11</v>
      </c>
      <c r="E9" s="2" t="s">
        <v>20</v>
      </c>
      <c r="F9" s="2" t="s">
        <v>21</v>
      </c>
      <c r="G9">
        <v>10341</v>
      </c>
    </row>
    <row r="10" spans="1:7" ht="15" customHeight="1" x14ac:dyDescent="0.25">
      <c r="A10" s="3">
        <v>42503</v>
      </c>
      <c r="B10" s="3">
        <v>42505</v>
      </c>
      <c r="C10" s="2" t="s">
        <v>33</v>
      </c>
      <c r="D10" s="2" t="s">
        <v>11</v>
      </c>
      <c r="E10" s="2" t="s">
        <v>24</v>
      </c>
      <c r="F10" s="2" t="s">
        <v>25</v>
      </c>
      <c r="G10">
        <v>10254</v>
      </c>
    </row>
    <row r="11" spans="1:7" ht="15" customHeight="1" x14ac:dyDescent="0.25">
      <c r="A11" s="3">
        <v>42496</v>
      </c>
      <c r="B11" s="3">
        <v>42498</v>
      </c>
      <c r="C11" s="2" t="s">
        <v>34</v>
      </c>
      <c r="D11" s="2" t="s">
        <v>11</v>
      </c>
      <c r="E11" s="2" t="s">
        <v>24</v>
      </c>
      <c r="F11" s="2" t="s">
        <v>25</v>
      </c>
      <c r="G11">
        <v>10297</v>
      </c>
    </row>
    <row r="12" spans="1:7" ht="15" customHeight="1" x14ac:dyDescent="0.25">
      <c r="A12" s="3">
        <v>42481</v>
      </c>
      <c r="B12" s="3">
        <v>42484</v>
      </c>
      <c r="C12" s="2" t="s">
        <v>35</v>
      </c>
      <c r="D12" s="2" t="s">
        <v>11</v>
      </c>
      <c r="E12" s="2" t="s">
        <v>17</v>
      </c>
      <c r="F12" s="2" t="s">
        <v>36</v>
      </c>
      <c r="G12">
        <v>10251</v>
      </c>
    </row>
    <row r="13" spans="1:7" ht="15" customHeight="1" x14ac:dyDescent="0.25">
      <c r="A13" s="3">
        <v>42474</v>
      </c>
      <c r="B13" s="3">
        <v>42477</v>
      </c>
      <c r="C13" s="2" t="s">
        <v>37</v>
      </c>
      <c r="D13" s="2" t="s">
        <v>11</v>
      </c>
      <c r="E13" s="2" t="s">
        <v>12</v>
      </c>
      <c r="F13" s="2" t="s">
        <v>38</v>
      </c>
      <c r="G13">
        <v>10220</v>
      </c>
    </row>
    <row r="14" spans="1:7" ht="15" customHeight="1" x14ac:dyDescent="0.25">
      <c r="A14" s="3">
        <v>42461</v>
      </c>
      <c r="B14" s="3">
        <v>42463</v>
      </c>
      <c r="C14" s="2" t="s">
        <v>39</v>
      </c>
      <c r="D14" s="2" t="s">
        <v>11</v>
      </c>
      <c r="E14" s="2" t="s">
        <v>18</v>
      </c>
      <c r="F14" s="2" t="s">
        <v>23</v>
      </c>
      <c r="G14">
        <v>10050</v>
      </c>
    </row>
    <row r="15" spans="1:7" ht="15" customHeight="1" x14ac:dyDescent="0.25">
      <c r="A15" s="3">
        <v>42440</v>
      </c>
      <c r="B15" s="3">
        <v>42442</v>
      </c>
      <c r="C15" s="2" t="s">
        <v>40</v>
      </c>
      <c r="D15" s="2" t="s">
        <v>11</v>
      </c>
      <c r="E15" s="2" t="s">
        <v>22</v>
      </c>
      <c r="F15" s="2" t="s">
        <v>23</v>
      </c>
      <c r="G15">
        <v>10087</v>
      </c>
    </row>
    <row r="16" spans="1:7" ht="15" customHeight="1" x14ac:dyDescent="0.25">
      <c r="A16" s="3">
        <v>42432</v>
      </c>
      <c r="B16" s="3">
        <v>42435</v>
      </c>
      <c r="C16" s="2" t="s">
        <v>41</v>
      </c>
      <c r="D16" s="2" t="s">
        <v>11</v>
      </c>
      <c r="E16" s="2" t="s">
        <v>24</v>
      </c>
      <c r="F16" s="2" t="s">
        <v>25</v>
      </c>
      <c r="G16">
        <v>10042</v>
      </c>
    </row>
    <row r="17" spans="1:7" ht="15" customHeight="1" x14ac:dyDescent="0.25">
      <c r="A17" s="3">
        <v>42418</v>
      </c>
      <c r="B17" s="3">
        <v>42421</v>
      </c>
      <c r="C17" s="2" t="s">
        <v>42</v>
      </c>
      <c r="D17" s="2" t="s">
        <v>11</v>
      </c>
      <c r="E17" s="2" t="s">
        <v>9</v>
      </c>
      <c r="F17" s="2" t="s">
        <v>43</v>
      </c>
      <c r="G17">
        <v>10000</v>
      </c>
    </row>
    <row r="18" spans="1:7" ht="15" customHeight="1" x14ac:dyDescent="0.25">
      <c r="A18" s="3">
        <v>42398</v>
      </c>
      <c r="B18" s="3">
        <v>42400</v>
      </c>
      <c r="C18" s="2" t="s">
        <v>44</v>
      </c>
      <c r="D18" s="2" t="s">
        <v>11</v>
      </c>
      <c r="E18" s="2" t="s">
        <v>7</v>
      </c>
      <c r="F18" s="2" t="s">
        <v>8</v>
      </c>
      <c r="G18">
        <v>9867</v>
      </c>
    </row>
    <row r="19" spans="1:7" ht="15" customHeight="1" x14ac:dyDescent="0.25">
      <c r="A19" s="3">
        <v>42391</v>
      </c>
      <c r="B19" s="3">
        <v>42393</v>
      </c>
      <c r="C19" s="2" t="s">
        <v>45</v>
      </c>
      <c r="D19" s="2" t="s">
        <v>11</v>
      </c>
      <c r="E19" s="2" t="s">
        <v>7</v>
      </c>
      <c r="F19" s="2" t="s">
        <v>8</v>
      </c>
      <c r="G19">
        <v>9932</v>
      </c>
    </row>
  </sheetData>
  <autoFilter ref="A1:F19"/>
  <hyperlinks>
    <hyperlink ref="C2" r:id="rId1" display="http://www.fmpadel.com/if_torneos.aspx?IdTorneo=10812"/>
    <hyperlink ref="D2" r:id="rId2" display="http://www.fmpadel.com/if_torneos.aspx?IdTorneo=10812"/>
    <hyperlink ref="E2" r:id="rId3" display="http://www.fmpadel.com/if_torneos.aspx?IdTorneo=10812"/>
    <hyperlink ref="F2" r:id="rId4" display="http://www.fmpadel.com/if_torneos.aspx?IdTorneo=10812"/>
    <hyperlink ref="C3" r:id="rId5" display="http://www.fmpadel.com/if_torneos.aspx?IdTorneo=10737"/>
    <hyperlink ref="D3" r:id="rId6" display="http://www.fmpadel.com/if_torneos.aspx?IdTorneo=10737"/>
    <hyperlink ref="E3" r:id="rId7" display="http://www.fmpadel.com/if_torneos.aspx?IdTorneo=10737"/>
    <hyperlink ref="F3" r:id="rId8" display="http://www.fmpadel.com/if_torneos.aspx?IdTorneo=10737"/>
    <hyperlink ref="C4" r:id="rId9" display="http://www.fmpadel.com/if_torneos.aspx?IdTorneo=10648"/>
    <hyperlink ref="D4" r:id="rId10" display="http://www.fmpadel.com/if_torneos.aspx?IdTorneo=10648"/>
    <hyperlink ref="E4" r:id="rId11" display="http://www.fmpadel.com/if_torneos.aspx?IdTorneo=10648"/>
    <hyperlink ref="F4" r:id="rId12" display="http://www.fmpadel.com/if_torneos.aspx?IdTorneo=10648"/>
    <hyperlink ref="C5" r:id="rId13" display="http://www.fmpadel.com/if_torneos.aspx?IdTorneo=10599"/>
    <hyperlink ref="D5" r:id="rId14" display="http://www.fmpadel.com/if_torneos.aspx?IdTorneo=10599"/>
    <hyperlink ref="E5" r:id="rId15" display="http://www.fmpadel.com/if_torneos.aspx?IdTorneo=10599"/>
    <hyperlink ref="F5" r:id="rId16" display="http://www.fmpadel.com/if_torneos.aspx?IdTorneo=10599"/>
    <hyperlink ref="C6" r:id="rId17" display="http://www.fmpadel.com/if_torneos.aspx?IdTorneo=10541"/>
    <hyperlink ref="D6" r:id="rId18" display="http://www.fmpadel.com/if_torneos.aspx?IdTorneo=10541"/>
    <hyperlink ref="E6" r:id="rId19" display="http://www.fmpadel.com/if_torneos.aspx?IdTorneo=10541"/>
    <hyperlink ref="F6" r:id="rId20" display="http://www.fmpadel.com/if_torneos.aspx?IdTorneo=10541"/>
    <hyperlink ref="C7" r:id="rId21" display="http://www.fmpadel.com/if_torneos.aspx?IdTorneo=10406"/>
    <hyperlink ref="D7" r:id="rId22" display="http://www.fmpadel.com/if_torneos.aspx?IdTorneo=10406"/>
    <hyperlink ref="E7" r:id="rId23" display="http://www.fmpadel.com/if_torneos.aspx?IdTorneo=10406"/>
    <hyperlink ref="F7" r:id="rId24" display="http://www.fmpadel.com/if_torneos.aspx?IdTorneo=10406"/>
    <hyperlink ref="C8" r:id="rId25" display="http://www.fmpadel.com/if_torneos.aspx?IdTorneo=10443"/>
    <hyperlink ref="D8" r:id="rId26" display="http://www.fmpadel.com/if_torneos.aspx?IdTorneo=10443"/>
    <hyperlink ref="E8" r:id="rId27" display="http://www.fmpadel.com/if_torneos.aspx?IdTorneo=10443"/>
    <hyperlink ref="F8" r:id="rId28" display="http://www.fmpadel.com/if_torneos.aspx?IdTorneo=10443"/>
    <hyperlink ref="C9" r:id="rId29" display="http://www.fmpadel.com/if_torneos.aspx?IdTorneo=10341"/>
    <hyperlink ref="D9" r:id="rId30" display="http://www.fmpadel.com/if_torneos.aspx?IdTorneo=10341"/>
    <hyperlink ref="E9" r:id="rId31" display="http://www.fmpadel.com/if_torneos.aspx?IdTorneo=10341"/>
    <hyperlink ref="F9" r:id="rId32" display="http://www.fmpadel.com/if_torneos.aspx?IdTorneo=10341"/>
    <hyperlink ref="C10" r:id="rId33" display="http://www.fmpadel.com/if_torneos.aspx?IdTorneo=10254"/>
    <hyperlink ref="D10" r:id="rId34" display="http://www.fmpadel.com/if_torneos.aspx?IdTorneo=10254"/>
    <hyperlink ref="E10" r:id="rId35" display="http://www.fmpadel.com/if_torneos.aspx?IdTorneo=10254"/>
    <hyperlink ref="F10" r:id="rId36" display="http://www.fmpadel.com/if_torneos.aspx?IdTorneo=10254"/>
    <hyperlink ref="C11" r:id="rId37" display="http://www.fmpadel.com/if_torneos.aspx?IdTorneo=10297"/>
    <hyperlink ref="D11" r:id="rId38" display="http://www.fmpadel.com/if_torneos.aspx?IdTorneo=10297"/>
    <hyperlink ref="E11" r:id="rId39" display="http://www.fmpadel.com/if_torneos.aspx?IdTorneo=10297"/>
    <hyperlink ref="F11" r:id="rId40" display="http://www.fmpadel.com/if_torneos.aspx?IdTorneo=10297"/>
    <hyperlink ref="C12" r:id="rId41" display="http://www.fmpadel.com/if_torneos.aspx?IdTorneo=10251"/>
    <hyperlink ref="D12" r:id="rId42" display="http://www.fmpadel.com/if_torneos.aspx?IdTorneo=10251"/>
    <hyperlink ref="E12" r:id="rId43" display="http://www.fmpadel.com/if_torneos.aspx?IdTorneo=10251"/>
    <hyperlink ref="F12" r:id="rId44" display="http://www.fmpadel.com/if_torneos.aspx?IdTorneo=10251"/>
    <hyperlink ref="C13" r:id="rId45" display="http://www.fmpadel.com/if_torneos.aspx?IdTorneo=10220"/>
    <hyperlink ref="D13" r:id="rId46" display="http://www.fmpadel.com/if_torneos.aspx?IdTorneo=10220"/>
    <hyperlink ref="E13" r:id="rId47" display="http://www.fmpadel.com/if_torneos.aspx?IdTorneo=10220"/>
    <hyperlink ref="F13" r:id="rId48" display="http://www.fmpadel.com/if_torneos.aspx?IdTorneo=10220"/>
    <hyperlink ref="C14" r:id="rId49" display="http://www.fmpadel.com/if_torneos.aspx?IdTorneo=10050"/>
    <hyperlink ref="D14" r:id="rId50" display="http://www.fmpadel.com/if_torneos.aspx?IdTorneo=10050"/>
    <hyperlink ref="E14" r:id="rId51" display="http://www.fmpadel.com/if_torneos.aspx?IdTorneo=10050"/>
    <hyperlink ref="F14" r:id="rId52" display="http://www.fmpadel.com/if_torneos.aspx?IdTorneo=10050"/>
    <hyperlink ref="C15" r:id="rId53" display="http://www.fmpadel.com/if_torneos.aspx?IdTorneo=10087"/>
    <hyperlink ref="D15" r:id="rId54" display="http://www.fmpadel.com/if_torneos.aspx?IdTorneo=10087"/>
    <hyperlink ref="E15" r:id="rId55" display="http://www.fmpadel.com/if_torneos.aspx?IdTorneo=10087"/>
    <hyperlink ref="F15" r:id="rId56" display="http://www.fmpadel.com/if_torneos.aspx?IdTorneo=10087"/>
    <hyperlink ref="C16" r:id="rId57" display="http://www.fmpadel.com/if_torneos.aspx?IdTorneo=10042"/>
    <hyperlink ref="D16" r:id="rId58" display="http://www.fmpadel.com/if_torneos.aspx?IdTorneo=10042"/>
    <hyperlink ref="E16" r:id="rId59" display="http://www.fmpadel.com/if_torneos.aspx?IdTorneo=10042"/>
    <hyperlink ref="F16" r:id="rId60" display="http://www.fmpadel.com/if_torneos.aspx?IdTorneo=10042"/>
    <hyperlink ref="C17" r:id="rId61" display="http://www.fmpadel.com/if_torneos.aspx?IdTorneo=10000"/>
    <hyperlink ref="D17" r:id="rId62" display="http://www.fmpadel.com/if_torneos.aspx?IdTorneo=10000"/>
    <hyperlink ref="E17" r:id="rId63" display="http://www.fmpadel.com/if_torneos.aspx?IdTorneo=10000"/>
    <hyperlink ref="F17" r:id="rId64" display="http://www.fmpadel.com/if_torneos.aspx?IdTorneo=10000"/>
    <hyperlink ref="C18" r:id="rId65" display="http://www.fmpadel.com/if_torneos.aspx?IdTorneo=9867"/>
    <hyperlink ref="D18" r:id="rId66" display="http://www.fmpadel.com/if_torneos.aspx?IdTorneo=9867"/>
    <hyperlink ref="E18" r:id="rId67" display="http://www.fmpadel.com/if_torneos.aspx?IdTorneo=9867"/>
    <hyperlink ref="F18" r:id="rId68" display="http://www.fmpadel.com/if_torneos.aspx?IdTorneo=9867"/>
    <hyperlink ref="C19" r:id="rId69" display="http://www.fmpadel.com/if_torneos.aspx?IdTorneo=9932"/>
    <hyperlink ref="D19" r:id="rId70" display="http://www.fmpadel.com/if_torneos.aspx?IdTorneo=9932"/>
    <hyperlink ref="E19" r:id="rId71" display="http://www.fmpadel.com/if_torneos.aspx?IdTorneo=9932"/>
    <hyperlink ref="F19" r:id="rId72" display="http://www.fmpadel.com/if_torneos.aspx?IdTorneo=9932"/>
  </hyperlinks>
  <pageMargins left="0.7" right="0.7" top="0.75" bottom="0.75" header="0.3" footer="0.3"/>
  <pageSetup paperSize="9" orientation="portrait" r:id="rId73"/>
  <drawing r:id="rId74"/>
  <legacyDrawing r:id="rId7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76" name="Button 1">
              <controlPr defaultSize="0" print="0" autoFill="0" autoPict="0" macro="[0]!ImportarCuadro">
                <anchor moveWithCells="1" sizeWithCells="1">
                  <from>
                    <xdr:col>7</xdr:col>
                    <xdr:colOff>742950</xdr:colOff>
                    <xdr:row>1</xdr:row>
                    <xdr:rowOff>19050</xdr:rowOff>
                  </from>
                  <to>
                    <xdr:col>9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62"/>
  <sheetViews>
    <sheetView workbookViewId="0">
      <selection activeCell="C16" sqref="C16"/>
    </sheetView>
  </sheetViews>
  <sheetFormatPr baseColWidth="10" defaultRowHeight="15" customHeight="1" x14ac:dyDescent="0.25"/>
  <cols>
    <col min="1" max="1" width="4.7109375" bestFit="1" customWidth="1"/>
    <col min="2" max="2" width="7.7109375" bestFit="1" customWidth="1"/>
    <col min="3" max="3" width="39.85546875" bestFit="1" customWidth="1"/>
    <col min="4" max="4" width="7.85546875" bestFit="1" customWidth="1"/>
    <col min="5" max="5" width="7.140625" bestFit="1" customWidth="1"/>
    <col min="6" max="7" width="8" bestFit="1" customWidth="1"/>
    <col min="13" max="13" width="15.5703125" bestFit="1" customWidth="1"/>
  </cols>
  <sheetData>
    <row r="1" spans="1:7" ht="15" customHeight="1" x14ac:dyDescent="0.25">
      <c r="A1" s="9" t="s">
        <v>46</v>
      </c>
      <c r="B1" s="9" t="s">
        <v>47</v>
      </c>
      <c r="C1" s="9" t="s">
        <v>48</v>
      </c>
      <c r="D1" s="5" t="s">
        <v>49</v>
      </c>
      <c r="E1" s="5" t="s">
        <v>51</v>
      </c>
      <c r="F1" s="5" t="s">
        <v>49</v>
      </c>
      <c r="G1" s="5" t="s">
        <v>51</v>
      </c>
    </row>
    <row r="2" spans="1:7" ht="15" customHeight="1" x14ac:dyDescent="0.25">
      <c r="A2" s="9"/>
      <c r="B2" s="9"/>
      <c r="C2" s="9"/>
      <c r="D2" s="5" t="s">
        <v>50</v>
      </c>
      <c r="E2" s="5" t="s">
        <v>52</v>
      </c>
      <c r="F2" s="5" t="s">
        <v>53</v>
      </c>
      <c r="G2" s="5" t="s">
        <v>53</v>
      </c>
    </row>
    <row r="3" spans="1:7" ht="15" customHeight="1" x14ac:dyDescent="0.25">
      <c r="A3" s="1">
        <v>1</v>
      </c>
      <c r="B3" s="1">
        <v>123685</v>
      </c>
      <c r="C3" s="1" t="s">
        <v>54</v>
      </c>
      <c r="D3" s="1">
        <v>15</v>
      </c>
      <c r="E3" s="6">
        <v>2874</v>
      </c>
      <c r="F3" s="1">
        <v>14</v>
      </c>
      <c r="G3" s="1">
        <v>205</v>
      </c>
    </row>
    <row r="4" spans="1:7" ht="15" customHeight="1" x14ac:dyDescent="0.25">
      <c r="A4" s="1">
        <v>2</v>
      </c>
      <c r="B4" s="1">
        <v>136028</v>
      </c>
      <c r="C4" s="1" t="s">
        <v>55</v>
      </c>
      <c r="D4" s="1">
        <v>16</v>
      </c>
      <c r="E4" s="6">
        <v>2997</v>
      </c>
      <c r="F4" s="1">
        <v>15</v>
      </c>
      <c r="G4" s="1">
        <v>200</v>
      </c>
    </row>
    <row r="5" spans="1:7" ht="15" customHeight="1" x14ac:dyDescent="0.25">
      <c r="A5" s="1">
        <v>2</v>
      </c>
      <c r="B5" s="1">
        <v>137491</v>
      </c>
      <c r="C5" s="1" t="s">
        <v>56</v>
      </c>
      <c r="D5" s="1">
        <v>8</v>
      </c>
      <c r="E5" s="6">
        <v>1798</v>
      </c>
      <c r="F5" s="1">
        <v>9</v>
      </c>
      <c r="G5" s="1">
        <v>200</v>
      </c>
    </row>
    <row r="6" spans="1:7" ht="15" customHeight="1" x14ac:dyDescent="0.25">
      <c r="A6" s="1">
        <v>4</v>
      </c>
      <c r="B6" s="1">
        <v>145049</v>
      </c>
      <c r="C6" s="1" t="s">
        <v>57</v>
      </c>
      <c r="D6" s="1">
        <v>11</v>
      </c>
      <c r="E6" s="6">
        <v>1955</v>
      </c>
      <c r="F6" s="1">
        <v>11</v>
      </c>
      <c r="G6" s="1">
        <v>178</v>
      </c>
    </row>
    <row r="7" spans="1:7" ht="15" customHeight="1" x14ac:dyDescent="0.25">
      <c r="A7" s="1">
        <v>5</v>
      </c>
      <c r="B7" s="1">
        <v>132059</v>
      </c>
      <c r="C7" s="1" t="s">
        <v>58</v>
      </c>
      <c r="D7" s="1">
        <v>13</v>
      </c>
      <c r="E7" s="6">
        <v>2176</v>
      </c>
      <c r="F7" s="1">
        <v>13</v>
      </c>
      <c r="G7" s="1">
        <v>167</v>
      </c>
    </row>
    <row r="8" spans="1:7" ht="15" customHeight="1" x14ac:dyDescent="0.25">
      <c r="A8" s="1">
        <v>6</v>
      </c>
      <c r="B8" s="1">
        <v>124375</v>
      </c>
      <c r="C8" s="1" t="s">
        <v>59</v>
      </c>
      <c r="D8" s="1">
        <v>16</v>
      </c>
      <c r="E8" s="6">
        <v>2268</v>
      </c>
      <c r="F8" s="1">
        <v>15</v>
      </c>
      <c r="G8" s="1">
        <v>151</v>
      </c>
    </row>
    <row r="9" spans="1:7" ht="15" customHeight="1" x14ac:dyDescent="0.25">
      <c r="A9" s="1">
        <v>7</v>
      </c>
      <c r="B9" s="1">
        <v>124374</v>
      </c>
      <c r="C9" s="1" t="s">
        <v>60</v>
      </c>
      <c r="D9" s="1">
        <v>12</v>
      </c>
      <c r="E9" s="6">
        <v>1800</v>
      </c>
      <c r="F9" s="1">
        <v>12</v>
      </c>
      <c r="G9" s="1">
        <v>150</v>
      </c>
    </row>
    <row r="10" spans="1:7" ht="15" customHeight="1" x14ac:dyDescent="0.25">
      <c r="A10" s="1">
        <v>8</v>
      </c>
      <c r="B10" s="1">
        <v>139707</v>
      </c>
      <c r="C10" s="1" t="s">
        <v>61</v>
      </c>
      <c r="D10" s="1">
        <v>8</v>
      </c>
      <c r="E10" s="6">
        <v>1281</v>
      </c>
      <c r="F10" s="1">
        <v>9</v>
      </c>
      <c r="G10" s="1">
        <v>142</v>
      </c>
    </row>
    <row r="11" spans="1:7" ht="15" customHeight="1" x14ac:dyDescent="0.25">
      <c r="A11" s="1">
        <v>9</v>
      </c>
      <c r="B11" s="1">
        <v>113797</v>
      </c>
      <c r="C11" s="1" t="s">
        <v>62</v>
      </c>
      <c r="D11" s="1">
        <v>4</v>
      </c>
      <c r="E11" s="6">
        <v>1000</v>
      </c>
      <c r="F11" s="1">
        <v>9</v>
      </c>
      <c r="G11" s="1">
        <v>111</v>
      </c>
    </row>
    <row r="12" spans="1:7" ht="15" customHeight="1" x14ac:dyDescent="0.25">
      <c r="A12" s="1">
        <v>10</v>
      </c>
      <c r="B12" s="1">
        <v>140101</v>
      </c>
      <c r="C12" s="1" t="s">
        <v>63</v>
      </c>
      <c r="D12" s="1">
        <v>12</v>
      </c>
      <c r="E12" s="6">
        <v>1325</v>
      </c>
      <c r="F12" s="1">
        <v>12</v>
      </c>
      <c r="G12" s="1">
        <v>110</v>
      </c>
    </row>
    <row r="13" spans="1:7" ht="15" customHeight="1" x14ac:dyDescent="0.25">
      <c r="A13" s="1">
        <v>11</v>
      </c>
      <c r="B13" s="1">
        <v>135799</v>
      </c>
      <c r="C13" s="1" t="s">
        <v>64</v>
      </c>
      <c r="D13" s="1">
        <v>12</v>
      </c>
      <c r="E13" s="6">
        <v>1194</v>
      </c>
      <c r="F13" s="1">
        <v>12</v>
      </c>
      <c r="G13" s="1">
        <v>100</v>
      </c>
    </row>
    <row r="14" spans="1:7" ht="15" customHeight="1" x14ac:dyDescent="0.25">
      <c r="A14" s="1">
        <v>11</v>
      </c>
      <c r="B14" s="1">
        <v>152205</v>
      </c>
      <c r="C14" s="1" t="s">
        <v>65</v>
      </c>
      <c r="D14" s="1">
        <v>14</v>
      </c>
      <c r="E14" s="6">
        <v>1297</v>
      </c>
      <c r="F14" s="1">
        <v>13</v>
      </c>
      <c r="G14" s="1">
        <v>100</v>
      </c>
    </row>
    <row r="15" spans="1:7" ht="15" customHeight="1" x14ac:dyDescent="0.25">
      <c r="A15" s="1">
        <v>13</v>
      </c>
      <c r="B15" s="1">
        <v>117100</v>
      </c>
      <c r="C15" s="1" t="s">
        <v>66</v>
      </c>
      <c r="D15" s="1">
        <v>10</v>
      </c>
      <c r="E15" s="1">
        <v>973</v>
      </c>
      <c r="F15" s="1">
        <v>10</v>
      </c>
      <c r="G15" s="1">
        <v>97</v>
      </c>
    </row>
    <row r="16" spans="1:7" ht="15" customHeight="1" x14ac:dyDescent="0.25">
      <c r="A16" s="1">
        <v>14</v>
      </c>
      <c r="B16" s="1">
        <v>138236</v>
      </c>
      <c r="C16" s="1" t="s">
        <v>67</v>
      </c>
      <c r="D16" s="1">
        <v>15</v>
      </c>
      <c r="E16" s="1">
        <v>984</v>
      </c>
      <c r="F16" s="1">
        <v>14</v>
      </c>
      <c r="G16" s="1">
        <v>70</v>
      </c>
    </row>
    <row r="17" spans="1:7" ht="15" customHeight="1" x14ac:dyDescent="0.25">
      <c r="A17" s="1">
        <v>14</v>
      </c>
      <c r="B17" s="1">
        <v>139491</v>
      </c>
      <c r="C17" s="1" t="s">
        <v>68</v>
      </c>
      <c r="D17" s="1">
        <v>15</v>
      </c>
      <c r="E17" s="1">
        <v>978</v>
      </c>
      <c r="F17" s="1">
        <v>14</v>
      </c>
      <c r="G17" s="1">
        <v>70</v>
      </c>
    </row>
    <row r="18" spans="1:7" ht="15" customHeight="1" x14ac:dyDescent="0.25">
      <c r="A18" s="1">
        <v>16</v>
      </c>
      <c r="B18" s="1">
        <v>149468</v>
      </c>
      <c r="C18" s="1" t="s">
        <v>69</v>
      </c>
      <c r="D18" s="1">
        <v>14</v>
      </c>
      <c r="E18" s="1">
        <v>887</v>
      </c>
      <c r="F18" s="1">
        <v>13</v>
      </c>
      <c r="G18" s="1">
        <v>68</v>
      </c>
    </row>
    <row r="19" spans="1:7" ht="15" customHeight="1" x14ac:dyDescent="0.25">
      <c r="A19" s="1">
        <v>17</v>
      </c>
      <c r="B19" s="1">
        <v>136901</v>
      </c>
      <c r="C19" s="1" t="s">
        <v>70</v>
      </c>
      <c r="D19" s="1">
        <v>11</v>
      </c>
      <c r="E19" s="1">
        <v>729</v>
      </c>
      <c r="F19" s="1">
        <v>11</v>
      </c>
      <c r="G19" s="1">
        <v>66</v>
      </c>
    </row>
    <row r="20" spans="1:7" ht="15" customHeight="1" x14ac:dyDescent="0.25">
      <c r="A20" s="1">
        <v>18</v>
      </c>
      <c r="B20" s="1">
        <v>157187</v>
      </c>
      <c r="C20" s="1" t="s">
        <v>71</v>
      </c>
      <c r="D20" s="1">
        <v>13</v>
      </c>
      <c r="E20" s="1">
        <v>821</v>
      </c>
      <c r="F20" s="1">
        <v>13</v>
      </c>
      <c r="G20" s="1">
        <v>63</v>
      </c>
    </row>
    <row r="21" spans="1:7" ht="15" customHeight="1" x14ac:dyDescent="0.25">
      <c r="A21" s="1">
        <v>19</v>
      </c>
      <c r="B21" s="1">
        <v>138237</v>
      </c>
      <c r="C21" s="1" t="s">
        <v>72</v>
      </c>
      <c r="D21" s="1">
        <v>13</v>
      </c>
      <c r="E21" s="1">
        <v>769</v>
      </c>
      <c r="F21" s="1">
        <v>13</v>
      </c>
      <c r="G21" s="1">
        <v>59</v>
      </c>
    </row>
    <row r="22" spans="1:7" ht="15" customHeight="1" x14ac:dyDescent="0.25">
      <c r="A22" s="1">
        <v>20</v>
      </c>
      <c r="B22" s="1">
        <v>141526</v>
      </c>
      <c r="C22" s="1" t="s">
        <v>73</v>
      </c>
      <c r="D22" s="1">
        <v>4</v>
      </c>
      <c r="E22" s="1">
        <v>509</v>
      </c>
      <c r="F22" s="1">
        <v>9</v>
      </c>
      <c r="G22" s="1">
        <v>57</v>
      </c>
    </row>
    <row r="23" spans="1:7" ht="15" customHeight="1" x14ac:dyDescent="0.25">
      <c r="A23" s="1">
        <v>21</v>
      </c>
      <c r="B23" s="1">
        <v>139015</v>
      </c>
      <c r="C23" s="1" t="s">
        <v>74</v>
      </c>
      <c r="D23" s="1">
        <v>13</v>
      </c>
      <c r="E23" s="1">
        <v>546</v>
      </c>
      <c r="F23" s="1">
        <v>13</v>
      </c>
      <c r="G23" s="1">
        <v>42</v>
      </c>
    </row>
    <row r="24" spans="1:7" ht="15" customHeight="1" x14ac:dyDescent="0.25">
      <c r="A24" s="1">
        <v>22</v>
      </c>
      <c r="B24" s="1">
        <v>139488</v>
      </c>
      <c r="C24" s="1" t="s">
        <v>75</v>
      </c>
      <c r="D24" s="1">
        <v>9</v>
      </c>
      <c r="E24" s="1">
        <v>297</v>
      </c>
      <c r="F24" s="1">
        <v>9</v>
      </c>
      <c r="G24" s="1">
        <v>33</v>
      </c>
    </row>
    <row r="25" spans="1:7" ht="15" customHeight="1" x14ac:dyDescent="0.25">
      <c r="A25" s="1">
        <v>22</v>
      </c>
      <c r="B25" s="1">
        <v>148616</v>
      </c>
      <c r="C25" s="1" t="s">
        <v>76</v>
      </c>
      <c r="D25" s="1">
        <v>3</v>
      </c>
      <c r="E25" s="1">
        <v>297</v>
      </c>
      <c r="F25" s="1">
        <v>9</v>
      </c>
      <c r="G25" s="1">
        <v>33</v>
      </c>
    </row>
    <row r="26" spans="1:7" ht="15" customHeight="1" x14ac:dyDescent="0.25">
      <c r="A26" s="1">
        <v>22</v>
      </c>
      <c r="B26" s="1">
        <v>149142</v>
      </c>
      <c r="C26" s="1" t="s">
        <v>77</v>
      </c>
      <c r="D26" s="1">
        <v>3</v>
      </c>
      <c r="E26" s="1">
        <v>297</v>
      </c>
      <c r="F26" s="1">
        <v>9</v>
      </c>
      <c r="G26" s="1">
        <v>33</v>
      </c>
    </row>
    <row r="27" spans="1:7" ht="15" customHeight="1" x14ac:dyDescent="0.25">
      <c r="A27" s="1">
        <v>22</v>
      </c>
      <c r="B27" s="1">
        <v>163957</v>
      </c>
      <c r="C27" s="1" t="s">
        <v>78</v>
      </c>
      <c r="D27" s="1">
        <v>2</v>
      </c>
      <c r="E27" s="1">
        <v>298</v>
      </c>
      <c r="F27" s="1">
        <v>9</v>
      </c>
      <c r="G27" s="1">
        <v>33</v>
      </c>
    </row>
    <row r="28" spans="1:7" ht="15" customHeight="1" x14ac:dyDescent="0.25">
      <c r="A28" s="1">
        <v>26</v>
      </c>
      <c r="B28" s="1">
        <v>157111</v>
      </c>
      <c r="C28" s="1" t="s">
        <v>79</v>
      </c>
      <c r="D28" s="1">
        <v>14</v>
      </c>
      <c r="E28" s="1">
        <v>396</v>
      </c>
      <c r="F28" s="1">
        <v>13</v>
      </c>
      <c r="G28" s="1">
        <v>30</v>
      </c>
    </row>
    <row r="29" spans="1:7" ht="15" customHeight="1" x14ac:dyDescent="0.25">
      <c r="A29" s="1">
        <v>27</v>
      </c>
      <c r="B29" s="1">
        <v>165866</v>
      </c>
      <c r="C29" s="1" t="s">
        <v>80</v>
      </c>
      <c r="D29" s="1">
        <v>6</v>
      </c>
      <c r="E29" s="1">
        <v>259</v>
      </c>
      <c r="F29" s="1">
        <v>9</v>
      </c>
      <c r="G29" s="1">
        <v>29</v>
      </c>
    </row>
    <row r="30" spans="1:7" ht="15" customHeight="1" x14ac:dyDescent="0.25">
      <c r="A30" s="1">
        <v>27</v>
      </c>
      <c r="B30" s="1">
        <v>165867</v>
      </c>
      <c r="C30" s="1" t="s">
        <v>81</v>
      </c>
      <c r="D30" s="1">
        <v>6</v>
      </c>
      <c r="E30" s="1">
        <v>259</v>
      </c>
      <c r="F30" s="1">
        <v>9</v>
      </c>
      <c r="G30" s="1">
        <v>29</v>
      </c>
    </row>
    <row r="31" spans="1:7" ht="15" customHeight="1" x14ac:dyDescent="0.25">
      <c r="A31" s="1">
        <v>29</v>
      </c>
      <c r="B31" s="1">
        <v>134250</v>
      </c>
      <c r="C31" s="1" t="s">
        <v>82</v>
      </c>
      <c r="D31" s="1">
        <v>5</v>
      </c>
      <c r="E31" s="1">
        <v>253</v>
      </c>
      <c r="F31" s="1">
        <v>9</v>
      </c>
      <c r="G31" s="1">
        <v>28</v>
      </c>
    </row>
    <row r="32" spans="1:7" ht="15" customHeight="1" x14ac:dyDescent="0.25">
      <c r="A32" s="1">
        <v>30</v>
      </c>
      <c r="B32" s="1">
        <v>158694</v>
      </c>
      <c r="C32" s="1" t="s">
        <v>83</v>
      </c>
      <c r="D32" s="1">
        <v>8</v>
      </c>
      <c r="E32" s="1">
        <v>194</v>
      </c>
      <c r="F32" s="1">
        <v>9</v>
      </c>
      <c r="G32" s="1">
        <v>22</v>
      </c>
    </row>
    <row r="33" spans="1:7" ht="15" customHeight="1" x14ac:dyDescent="0.25">
      <c r="A33" s="1">
        <v>31</v>
      </c>
      <c r="B33" s="1">
        <v>123670</v>
      </c>
      <c r="C33" s="1" t="s">
        <v>84</v>
      </c>
      <c r="D33" s="1">
        <v>5</v>
      </c>
      <c r="E33" s="1">
        <v>186</v>
      </c>
      <c r="F33" s="1">
        <v>9</v>
      </c>
      <c r="G33" s="1">
        <v>21</v>
      </c>
    </row>
    <row r="34" spans="1:7" ht="15" customHeight="1" x14ac:dyDescent="0.25">
      <c r="A34" s="1">
        <v>32</v>
      </c>
      <c r="B34" s="1">
        <v>139909</v>
      </c>
      <c r="C34" s="1" t="s">
        <v>85</v>
      </c>
      <c r="D34" s="1">
        <v>12</v>
      </c>
      <c r="E34" s="1">
        <v>236</v>
      </c>
      <c r="F34" s="1">
        <v>12</v>
      </c>
      <c r="G34" s="1">
        <v>20</v>
      </c>
    </row>
    <row r="35" spans="1:7" ht="15" customHeight="1" x14ac:dyDescent="0.25">
      <c r="A35" s="1">
        <v>32</v>
      </c>
      <c r="B35" s="1">
        <v>155500</v>
      </c>
      <c r="C35" s="1" t="s">
        <v>86</v>
      </c>
      <c r="D35" s="1">
        <v>11</v>
      </c>
      <c r="E35" s="1">
        <v>218</v>
      </c>
      <c r="F35" s="1">
        <v>11</v>
      </c>
      <c r="G35" s="1">
        <v>20</v>
      </c>
    </row>
    <row r="36" spans="1:7" ht="15" customHeight="1" x14ac:dyDescent="0.25">
      <c r="A36" s="1">
        <v>34</v>
      </c>
      <c r="B36" s="1">
        <v>116692</v>
      </c>
      <c r="C36" s="1" t="s">
        <v>87</v>
      </c>
      <c r="D36" s="1">
        <v>1</v>
      </c>
      <c r="E36" s="1">
        <v>175</v>
      </c>
      <c r="F36" s="1">
        <v>9</v>
      </c>
      <c r="G36" s="1">
        <v>19</v>
      </c>
    </row>
    <row r="37" spans="1:7" ht="15" customHeight="1" x14ac:dyDescent="0.25">
      <c r="A37" s="1">
        <v>35</v>
      </c>
      <c r="B37" s="1">
        <v>157124</v>
      </c>
      <c r="C37" s="1" t="s">
        <v>88</v>
      </c>
      <c r="D37" s="1">
        <v>6</v>
      </c>
      <c r="E37" s="1">
        <v>134</v>
      </c>
      <c r="F37" s="1">
        <v>9</v>
      </c>
      <c r="G37" s="1">
        <v>15</v>
      </c>
    </row>
    <row r="38" spans="1:7" ht="15" customHeight="1" x14ac:dyDescent="0.25">
      <c r="A38" s="1">
        <v>36</v>
      </c>
      <c r="B38" s="1">
        <v>159771</v>
      </c>
      <c r="C38" s="1" t="s">
        <v>89</v>
      </c>
      <c r="D38" s="1">
        <v>3</v>
      </c>
      <c r="E38" s="1">
        <v>127</v>
      </c>
      <c r="F38" s="1">
        <v>9</v>
      </c>
      <c r="G38" s="1">
        <v>14</v>
      </c>
    </row>
    <row r="39" spans="1:7" ht="15" customHeight="1" x14ac:dyDescent="0.25">
      <c r="A39" s="1">
        <v>36</v>
      </c>
      <c r="B39" s="1">
        <v>159820</v>
      </c>
      <c r="C39" s="1" t="s">
        <v>90</v>
      </c>
      <c r="D39" s="1">
        <v>3</v>
      </c>
      <c r="E39" s="1">
        <v>127</v>
      </c>
      <c r="F39" s="1">
        <v>9</v>
      </c>
      <c r="G39" s="1">
        <v>14</v>
      </c>
    </row>
    <row r="40" spans="1:7" ht="15" customHeight="1" x14ac:dyDescent="0.25">
      <c r="A40" s="1">
        <v>36</v>
      </c>
      <c r="B40" s="1">
        <v>149481</v>
      </c>
      <c r="C40" s="1" t="s">
        <v>91</v>
      </c>
      <c r="D40" s="1">
        <v>3</v>
      </c>
      <c r="E40" s="1">
        <v>127</v>
      </c>
      <c r="F40" s="1">
        <v>9</v>
      </c>
      <c r="G40" s="1">
        <v>14</v>
      </c>
    </row>
    <row r="41" spans="1:7" ht="15" customHeight="1" x14ac:dyDescent="0.25">
      <c r="A41" s="1">
        <v>39</v>
      </c>
      <c r="B41" s="1">
        <v>154068</v>
      </c>
      <c r="C41" s="1" t="s">
        <v>92</v>
      </c>
      <c r="D41" s="1">
        <v>2</v>
      </c>
      <c r="E41" s="1">
        <v>115</v>
      </c>
      <c r="F41" s="1">
        <v>9</v>
      </c>
      <c r="G41" s="1">
        <v>13</v>
      </c>
    </row>
    <row r="42" spans="1:7" ht="15" customHeight="1" x14ac:dyDescent="0.25">
      <c r="A42" s="1">
        <v>39</v>
      </c>
      <c r="B42" s="1">
        <v>159769</v>
      </c>
      <c r="C42" s="1" t="s">
        <v>93</v>
      </c>
      <c r="D42" s="1">
        <v>6</v>
      </c>
      <c r="E42" s="1">
        <v>113</v>
      </c>
      <c r="F42" s="1">
        <v>9</v>
      </c>
      <c r="G42" s="1">
        <v>13</v>
      </c>
    </row>
    <row r="43" spans="1:7" ht="15" customHeight="1" x14ac:dyDescent="0.25">
      <c r="A43" s="1">
        <v>41</v>
      </c>
      <c r="B43" s="1">
        <v>150408</v>
      </c>
      <c r="C43" s="1" t="s">
        <v>94</v>
      </c>
      <c r="D43" s="1">
        <v>3</v>
      </c>
      <c r="E43" s="1">
        <v>104</v>
      </c>
      <c r="F43" s="1">
        <v>9</v>
      </c>
      <c r="G43" s="1">
        <v>12</v>
      </c>
    </row>
    <row r="44" spans="1:7" ht="15" customHeight="1" x14ac:dyDescent="0.25">
      <c r="A44" s="1">
        <v>41</v>
      </c>
      <c r="B44" s="1">
        <v>155925</v>
      </c>
      <c r="C44" s="1" t="s">
        <v>95</v>
      </c>
      <c r="D44" s="1">
        <v>3</v>
      </c>
      <c r="E44" s="1">
        <v>104</v>
      </c>
      <c r="F44" s="1">
        <v>9</v>
      </c>
      <c r="G44" s="1">
        <v>12</v>
      </c>
    </row>
    <row r="45" spans="1:7" ht="15" customHeight="1" x14ac:dyDescent="0.25">
      <c r="A45" s="1">
        <v>41</v>
      </c>
      <c r="B45" s="1">
        <v>149473</v>
      </c>
      <c r="C45" s="1" t="s">
        <v>96</v>
      </c>
      <c r="D45" s="1">
        <v>4</v>
      </c>
      <c r="E45" s="1">
        <v>105</v>
      </c>
      <c r="F45" s="1">
        <v>9</v>
      </c>
      <c r="G45" s="1">
        <v>12</v>
      </c>
    </row>
    <row r="46" spans="1:7" ht="15" customHeight="1" x14ac:dyDescent="0.25">
      <c r="A46" s="1">
        <v>44</v>
      </c>
      <c r="B46" s="1">
        <v>118285</v>
      </c>
      <c r="C46" s="1" t="s">
        <v>97</v>
      </c>
      <c r="D46" s="1">
        <v>1</v>
      </c>
      <c r="E46" s="1">
        <v>86</v>
      </c>
      <c r="F46" s="1">
        <v>9</v>
      </c>
      <c r="G46" s="1">
        <v>10</v>
      </c>
    </row>
    <row r="47" spans="1:7" ht="15" customHeight="1" x14ac:dyDescent="0.25">
      <c r="A47" s="1">
        <v>44</v>
      </c>
      <c r="B47" s="1">
        <v>127030</v>
      </c>
      <c r="C47" s="1" t="s">
        <v>98</v>
      </c>
      <c r="D47" s="1">
        <v>1</v>
      </c>
      <c r="E47" s="1">
        <v>86</v>
      </c>
      <c r="F47" s="1">
        <v>9</v>
      </c>
      <c r="G47" s="1">
        <v>10</v>
      </c>
    </row>
    <row r="48" spans="1:7" ht="15" customHeight="1" x14ac:dyDescent="0.25">
      <c r="A48" s="1">
        <v>44</v>
      </c>
      <c r="B48" s="1">
        <v>141503</v>
      </c>
      <c r="C48" s="1" t="s">
        <v>99</v>
      </c>
      <c r="D48" s="1">
        <v>1</v>
      </c>
      <c r="E48" s="1">
        <v>86</v>
      </c>
      <c r="F48" s="1">
        <v>9</v>
      </c>
      <c r="G48" s="1">
        <v>10</v>
      </c>
    </row>
    <row r="49" spans="1:7" ht="15" customHeight="1" x14ac:dyDescent="0.25">
      <c r="A49" s="1">
        <v>44</v>
      </c>
      <c r="B49" s="1">
        <v>141505</v>
      </c>
      <c r="C49" s="1" t="s">
        <v>100</v>
      </c>
      <c r="D49" s="1">
        <v>1</v>
      </c>
      <c r="E49" s="1">
        <v>86</v>
      </c>
      <c r="F49" s="1">
        <v>9</v>
      </c>
      <c r="G49" s="1">
        <v>10</v>
      </c>
    </row>
    <row r="50" spans="1:7" ht="15" customHeight="1" x14ac:dyDescent="0.25">
      <c r="A50" s="1">
        <v>44</v>
      </c>
      <c r="B50" s="1">
        <v>141607</v>
      </c>
      <c r="C50" s="1" t="s">
        <v>101</v>
      </c>
      <c r="D50" s="1">
        <v>1</v>
      </c>
      <c r="E50" s="1">
        <v>86</v>
      </c>
      <c r="F50" s="1">
        <v>9</v>
      </c>
      <c r="G50" s="1">
        <v>10</v>
      </c>
    </row>
    <row r="51" spans="1:7" ht="15" customHeight="1" x14ac:dyDescent="0.25">
      <c r="A51" s="1">
        <v>44</v>
      </c>
      <c r="B51" s="1">
        <v>141901</v>
      </c>
      <c r="C51" s="1" t="s">
        <v>102</v>
      </c>
      <c r="D51" s="1">
        <v>1</v>
      </c>
      <c r="E51" s="1">
        <v>86</v>
      </c>
      <c r="F51" s="1">
        <v>9</v>
      </c>
      <c r="G51" s="1">
        <v>10</v>
      </c>
    </row>
    <row r="52" spans="1:7" ht="15" customHeight="1" x14ac:dyDescent="0.25">
      <c r="A52" s="1">
        <v>50</v>
      </c>
      <c r="B52" s="1">
        <v>141874</v>
      </c>
      <c r="C52" s="1" t="s">
        <v>103</v>
      </c>
      <c r="D52" s="1">
        <v>5</v>
      </c>
      <c r="E52" s="1">
        <v>77</v>
      </c>
      <c r="F52" s="1">
        <v>9</v>
      </c>
      <c r="G52" s="1">
        <v>9</v>
      </c>
    </row>
    <row r="53" spans="1:7" ht="15" customHeight="1" x14ac:dyDescent="0.25">
      <c r="A53" s="1">
        <v>51</v>
      </c>
      <c r="B53" s="1">
        <v>149471</v>
      </c>
      <c r="C53" s="1" t="s">
        <v>104</v>
      </c>
      <c r="D53" s="1">
        <v>2</v>
      </c>
      <c r="E53" s="1">
        <v>64</v>
      </c>
      <c r="F53" s="1">
        <v>9</v>
      </c>
      <c r="G53" s="1">
        <v>7</v>
      </c>
    </row>
    <row r="54" spans="1:7" ht="15" customHeight="1" x14ac:dyDescent="0.25">
      <c r="A54" s="1">
        <v>52</v>
      </c>
      <c r="B54" s="1">
        <v>168469</v>
      </c>
      <c r="C54" s="1" t="s">
        <v>105</v>
      </c>
      <c r="D54" s="1">
        <v>3</v>
      </c>
      <c r="E54" s="1">
        <v>54</v>
      </c>
      <c r="F54" s="1">
        <v>9</v>
      </c>
      <c r="G54" s="1">
        <v>6</v>
      </c>
    </row>
    <row r="55" spans="1:7" ht="15" customHeight="1" x14ac:dyDescent="0.25">
      <c r="A55" s="1">
        <v>53</v>
      </c>
      <c r="B55" s="1">
        <v>136844</v>
      </c>
      <c r="C55" s="1" t="s">
        <v>106</v>
      </c>
      <c r="D55" s="1">
        <v>1</v>
      </c>
      <c r="E55" s="1">
        <v>46</v>
      </c>
      <c r="F55" s="1">
        <v>9</v>
      </c>
      <c r="G55" s="1">
        <v>5</v>
      </c>
    </row>
    <row r="56" spans="1:7" ht="15" customHeight="1" x14ac:dyDescent="0.25">
      <c r="A56" s="1">
        <v>54</v>
      </c>
      <c r="B56" s="1">
        <v>155439</v>
      </c>
      <c r="C56" s="1" t="s">
        <v>107</v>
      </c>
      <c r="D56" s="1">
        <v>3</v>
      </c>
      <c r="E56" s="1">
        <v>36</v>
      </c>
      <c r="F56" s="1">
        <v>9</v>
      </c>
      <c r="G56" s="1">
        <v>4</v>
      </c>
    </row>
    <row r="57" spans="1:7" ht="15" customHeight="1" x14ac:dyDescent="0.25">
      <c r="A57" s="1">
        <v>54</v>
      </c>
      <c r="B57" s="1">
        <v>151216</v>
      </c>
      <c r="C57" s="1" t="s">
        <v>108</v>
      </c>
      <c r="D57" s="1">
        <v>2</v>
      </c>
      <c r="E57" s="1">
        <v>36</v>
      </c>
      <c r="F57" s="1">
        <v>9</v>
      </c>
      <c r="G57" s="1">
        <v>4</v>
      </c>
    </row>
    <row r="58" spans="1:7" ht="15" customHeight="1" x14ac:dyDescent="0.25">
      <c r="A58" s="1">
        <v>56</v>
      </c>
      <c r="B58" s="1">
        <v>155354</v>
      </c>
      <c r="C58" s="1" t="s">
        <v>109</v>
      </c>
      <c r="D58" s="1">
        <v>1</v>
      </c>
      <c r="E58" s="1">
        <v>23</v>
      </c>
      <c r="F58" s="1">
        <v>9</v>
      </c>
      <c r="G58" s="1">
        <v>3</v>
      </c>
    </row>
    <row r="59" spans="1:7" ht="15" customHeight="1" x14ac:dyDescent="0.25">
      <c r="A59" s="1">
        <v>56</v>
      </c>
      <c r="B59" s="1">
        <v>99299</v>
      </c>
      <c r="C59" s="1" t="s">
        <v>110</v>
      </c>
      <c r="D59" s="1">
        <v>1</v>
      </c>
      <c r="E59" s="1">
        <v>29</v>
      </c>
      <c r="F59" s="1">
        <v>9</v>
      </c>
      <c r="G59" s="1">
        <v>3</v>
      </c>
    </row>
    <row r="60" spans="1:7" ht="15" customHeight="1" x14ac:dyDescent="0.25">
      <c r="A60" s="1">
        <v>58</v>
      </c>
      <c r="B60" s="1">
        <v>170102</v>
      </c>
      <c r="C60" s="1" t="s">
        <v>111</v>
      </c>
      <c r="D60" s="1">
        <v>1</v>
      </c>
      <c r="E60" s="1">
        <v>18</v>
      </c>
      <c r="F60" s="1">
        <v>9</v>
      </c>
      <c r="G60" s="1">
        <v>2</v>
      </c>
    </row>
    <row r="61" spans="1:7" ht="15" customHeight="1" x14ac:dyDescent="0.25">
      <c r="A61" s="1">
        <v>58</v>
      </c>
      <c r="B61" s="1">
        <v>170103</v>
      </c>
      <c r="C61" s="1" t="s">
        <v>112</v>
      </c>
      <c r="D61" s="1">
        <v>1</v>
      </c>
      <c r="E61" s="1">
        <v>18</v>
      </c>
      <c r="F61" s="1">
        <v>9</v>
      </c>
      <c r="G61" s="1">
        <v>2</v>
      </c>
    </row>
    <row r="62" spans="1:7" ht="15" customHeight="1" x14ac:dyDescent="0.25">
      <c r="A62" s="1">
        <v>60</v>
      </c>
      <c r="B62" s="1">
        <v>165073</v>
      </c>
      <c r="C62" s="1" t="s">
        <v>113</v>
      </c>
      <c r="D62" s="1">
        <v>1</v>
      </c>
      <c r="E62" s="1">
        <v>0</v>
      </c>
      <c r="F62" s="1">
        <v>9</v>
      </c>
      <c r="G62" s="1">
        <v>0</v>
      </c>
    </row>
  </sheetData>
  <mergeCells count="3">
    <mergeCell ref="A1:A2"/>
    <mergeCell ref="B1:B2"/>
    <mergeCell ref="C1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onHistorial">
                <anchor moveWithCells="1" sizeWithCells="1">
                  <from>
                    <xdr:col>7</xdr:col>
                    <xdr:colOff>752475</xdr:colOff>
                    <xdr:row>2</xdr:row>
                    <xdr:rowOff>19050</xdr:rowOff>
                  </from>
                  <to>
                    <xdr:col>9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/>
  <dimension ref="A1:G82"/>
  <sheetViews>
    <sheetView workbookViewId="0">
      <selection activeCell="C74" sqref="C74"/>
    </sheetView>
  </sheetViews>
  <sheetFormatPr baseColWidth="10" defaultRowHeight="15" customHeight="1" x14ac:dyDescent="0.25"/>
  <cols>
    <col min="1" max="1" width="4.7109375" bestFit="1" customWidth="1"/>
    <col min="2" max="2" width="7.7109375" bestFit="1" customWidth="1"/>
    <col min="3" max="3" width="36.85546875" bestFit="1" customWidth="1"/>
    <col min="4" max="4" width="7.85546875" bestFit="1" customWidth="1"/>
    <col min="5" max="5" width="7.140625" bestFit="1" customWidth="1"/>
    <col min="6" max="7" width="8" bestFit="1" customWidth="1"/>
  </cols>
  <sheetData>
    <row r="1" spans="1:7" ht="15" customHeight="1" x14ac:dyDescent="0.25">
      <c r="A1" s="9" t="s">
        <v>46</v>
      </c>
      <c r="B1" s="9" t="s">
        <v>47</v>
      </c>
      <c r="C1" s="9" t="s">
        <v>48</v>
      </c>
      <c r="D1" s="5" t="s">
        <v>49</v>
      </c>
      <c r="E1" s="5" t="s">
        <v>51</v>
      </c>
      <c r="F1" s="5" t="s">
        <v>49</v>
      </c>
      <c r="G1" s="5" t="s">
        <v>51</v>
      </c>
    </row>
    <row r="2" spans="1:7" ht="15" customHeight="1" x14ac:dyDescent="0.25">
      <c r="A2" s="9"/>
      <c r="B2" s="9"/>
      <c r="C2" s="9"/>
      <c r="D2" s="5" t="s">
        <v>50</v>
      </c>
      <c r="E2" s="5" t="s">
        <v>52</v>
      </c>
      <c r="F2" s="5" t="s">
        <v>53</v>
      </c>
      <c r="G2" s="5" t="s">
        <v>53</v>
      </c>
    </row>
    <row r="3" spans="1:7" ht="15" customHeight="1" x14ac:dyDescent="0.25">
      <c r="A3" s="1">
        <v>1</v>
      </c>
      <c r="B3" s="1">
        <v>83575</v>
      </c>
      <c r="C3" s="1" t="s">
        <v>153</v>
      </c>
      <c r="D3" s="1">
        <v>9</v>
      </c>
      <c r="E3" s="6">
        <v>2425</v>
      </c>
      <c r="F3" s="1">
        <v>9</v>
      </c>
      <c r="G3" s="1">
        <v>269</v>
      </c>
    </row>
    <row r="4" spans="1:7" ht="15" customHeight="1" x14ac:dyDescent="0.25">
      <c r="A4" s="1">
        <v>2</v>
      </c>
      <c r="B4" s="1">
        <v>134071</v>
      </c>
      <c r="C4" s="1" t="s">
        <v>154</v>
      </c>
      <c r="D4" s="1">
        <v>11</v>
      </c>
      <c r="E4" s="6">
        <v>2319</v>
      </c>
      <c r="F4" s="1">
        <v>11</v>
      </c>
      <c r="G4" s="1">
        <v>211</v>
      </c>
    </row>
    <row r="5" spans="1:7" ht="15" customHeight="1" x14ac:dyDescent="0.25">
      <c r="A5" s="1">
        <v>3</v>
      </c>
      <c r="B5" s="1">
        <v>125037</v>
      </c>
      <c r="C5" s="1" t="s">
        <v>155</v>
      </c>
      <c r="D5" s="1">
        <v>12</v>
      </c>
      <c r="E5" s="6">
        <v>2494</v>
      </c>
      <c r="F5" s="1">
        <v>12</v>
      </c>
      <c r="G5" s="1">
        <v>208</v>
      </c>
    </row>
    <row r="6" spans="1:7" ht="15" customHeight="1" x14ac:dyDescent="0.25">
      <c r="A6" s="1">
        <v>4</v>
      </c>
      <c r="B6" s="1">
        <v>136308</v>
      </c>
      <c r="C6" s="1" t="s">
        <v>156</v>
      </c>
      <c r="D6" s="1">
        <v>10</v>
      </c>
      <c r="E6" s="6">
        <v>2069</v>
      </c>
      <c r="F6" s="1">
        <v>10</v>
      </c>
      <c r="G6" s="1">
        <v>207</v>
      </c>
    </row>
    <row r="7" spans="1:7" ht="15" customHeight="1" x14ac:dyDescent="0.25">
      <c r="A7" s="1">
        <v>5</v>
      </c>
      <c r="B7" s="1">
        <v>117101</v>
      </c>
      <c r="C7" s="1" t="s">
        <v>157</v>
      </c>
      <c r="D7" s="1">
        <v>9</v>
      </c>
      <c r="E7" s="6">
        <v>1546</v>
      </c>
      <c r="F7" s="1">
        <v>9</v>
      </c>
      <c r="G7" s="1">
        <v>172</v>
      </c>
    </row>
    <row r="8" spans="1:7" ht="15" customHeight="1" x14ac:dyDescent="0.25">
      <c r="A8" s="1">
        <v>6</v>
      </c>
      <c r="B8" s="1">
        <v>115530</v>
      </c>
      <c r="C8" s="1" t="s">
        <v>158</v>
      </c>
      <c r="D8" s="1">
        <v>17</v>
      </c>
      <c r="E8" s="6">
        <v>2176</v>
      </c>
      <c r="F8" s="1">
        <v>16</v>
      </c>
      <c r="G8" s="1">
        <v>136</v>
      </c>
    </row>
    <row r="9" spans="1:7" ht="15" customHeight="1" x14ac:dyDescent="0.25">
      <c r="A9" s="1">
        <v>7</v>
      </c>
      <c r="B9" s="1">
        <v>137491</v>
      </c>
      <c r="C9" s="1" t="s">
        <v>56</v>
      </c>
      <c r="D9" s="1">
        <v>8</v>
      </c>
      <c r="E9" s="6">
        <v>1128</v>
      </c>
      <c r="F9" s="1">
        <v>9</v>
      </c>
      <c r="G9" s="1">
        <v>125</v>
      </c>
    </row>
    <row r="10" spans="1:7" ht="15" customHeight="1" x14ac:dyDescent="0.25">
      <c r="A10" s="1">
        <v>8</v>
      </c>
      <c r="B10" s="1">
        <v>90132</v>
      </c>
      <c r="C10" s="1" t="s">
        <v>159</v>
      </c>
      <c r="D10" s="1">
        <v>5</v>
      </c>
      <c r="E10" s="6">
        <v>1100</v>
      </c>
      <c r="F10" s="1">
        <v>9</v>
      </c>
      <c r="G10" s="1">
        <v>122</v>
      </c>
    </row>
    <row r="11" spans="1:7" ht="15" customHeight="1" x14ac:dyDescent="0.25">
      <c r="A11" s="1">
        <v>9</v>
      </c>
      <c r="B11" s="1">
        <v>118207</v>
      </c>
      <c r="C11" s="1" t="s">
        <v>160</v>
      </c>
      <c r="D11" s="1">
        <v>16</v>
      </c>
      <c r="E11" s="6">
        <v>1699</v>
      </c>
      <c r="F11" s="1">
        <v>15</v>
      </c>
      <c r="G11" s="1">
        <v>113</v>
      </c>
    </row>
    <row r="12" spans="1:7" ht="15" customHeight="1" x14ac:dyDescent="0.25">
      <c r="A12" s="1">
        <v>10</v>
      </c>
      <c r="B12" s="1">
        <v>128184</v>
      </c>
      <c r="C12" s="1" t="s">
        <v>161</v>
      </c>
      <c r="D12" s="1">
        <v>12</v>
      </c>
      <c r="E12" s="6">
        <v>1279</v>
      </c>
      <c r="F12" s="1">
        <v>12</v>
      </c>
      <c r="G12" s="1">
        <v>107</v>
      </c>
    </row>
    <row r="13" spans="1:7" ht="15" customHeight="1" x14ac:dyDescent="0.25">
      <c r="A13" s="1">
        <v>11</v>
      </c>
      <c r="B13" s="1">
        <v>125906</v>
      </c>
      <c r="C13" s="1" t="s">
        <v>162</v>
      </c>
      <c r="D13" s="1">
        <v>10</v>
      </c>
      <c r="E13" s="6">
        <v>976</v>
      </c>
      <c r="F13" s="1">
        <v>10</v>
      </c>
      <c r="G13" s="1">
        <v>98</v>
      </c>
    </row>
    <row r="14" spans="1:7" ht="15" customHeight="1" x14ac:dyDescent="0.25">
      <c r="A14" s="1">
        <v>11</v>
      </c>
      <c r="B14" s="1">
        <v>125908</v>
      </c>
      <c r="C14" s="1" t="s">
        <v>163</v>
      </c>
      <c r="D14" s="1">
        <v>10</v>
      </c>
      <c r="E14" s="6">
        <v>976</v>
      </c>
      <c r="F14" s="1">
        <v>10</v>
      </c>
      <c r="G14" s="1">
        <v>98</v>
      </c>
    </row>
    <row r="15" spans="1:7" ht="15" customHeight="1" x14ac:dyDescent="0.25">
      <c r="A15" s="1">
        <v>13</v>
      </c>
      <c r="B15" s="1">
        <v>117122</v>
      </c>
      <c r="C15" s="1" t="s">
        <v>164</v>
      </c>
      <c r="D15" s="1">
        <v>12</v>
      </c>
      <c r="E15" s="1">
        <v>1028</v>
      </c>
      <c r="F15" s="1">
        <v>12</v>
      </c>
      <c r="G15" s="1">
        <v>86</v>
      </c>
    </row>
    <row r="16" spans="1:7" ht="15" customHeight="1" x14ac:dyDescent="0.25">
      <c r="A16" s="1">
        <v>13</v>
      </c>
      <c r="B16" s="1">
        <v>143512</v>
      </c>
      <c r="C16" s="1" t="s">
        <v>165</v>
      </c>
      <c r="D16" s="1">
        <v>14</v>
      </c>
      <c r="E16" s="1">
        <v>1116</v>
      </c>
      <c r="F16" s="1">
        <v>13</v>
      </c>
      <c r="G16" s="1">
        <v>86</v>
      </c>
    </row>
    <row r="17" spans="1:7" ht="15" customHeight="1" x14ac:dyDescent="0.25">
      <c r="A17" s="1">
        <v>13</v>
      </c>
      <c r="B17" s="1">
        <v>151434</v>
      </c>
      <c r="C17" s="1" t="s">
        <v>166</v>
      </c>
      <c r="D17" s="1">
        <v>13</v>
      </c>
      <c r="E17" s="1">
        <v>1117</v>
      </c>
      <c r="F17" s="1">
        <v>13</v>
      </c>
      <c r="G17" s="1">
        <v>86</v>
      </c>
    </row>
    <row r="18" spans="1:7" ht="15" customHeight="1" x14ac:dyDescent="0.25">
      <c r="A18" s="1">
        <v>16</v>
      </c>
      <c r="B18" s="1">
        <v>149851</v>
      </c>
      <c r="C18" s="1" t="s">
        <v>167</v>
      </c>
      <c r="D18" s="1">
        <v>11</v>
      </c>
      <c r="E18" s="1">
        <v>840</v>
      </c>
      <c r="F18" s="1">
        <v>11</v>
      </c>
      <c r="G18" s="1">
        <v>76</v>
      </c>
    </row>
    <row r="19" spans="1:7" ht="15" customHeight="1" x14ac:dyDescent="0.25">
      <c r="A19" s="1">
        <v>17</v>
      </c>
      <c r="B19" s="1">
        <v>139470</v>
      </c>
      <c r="C19" s="1" t="s">
        <v>168</v>
      </c>
      <c r="D19" s="1">
        <v>6</v>
      </c>
      <c r="E19" s="1">
        <v>607</v>
      </c>
      <c r="F19" s="1">
        <v>9</v>
      </c>
      <c r="G19" s="1">
        <v>67</v>
      </c>
    </row>
    <row r="20" spans="1:7" ht="15" customHeight="1" x14ac:dyDescent="0.25">
      <c r="A20" s="1">
        <v>18</v>
      </c>
      <c r="B20" s="1">
        <v>136076</v>
      </c>
      <c r="C20" s="1" t="s">
        <v>169</v>
      </c>
      <c r="D20" s="1">
        <v>7</v>
      </c>
      <c r="E20" s="1">
        <v>571</v>
      </c>
      <c r="F20" s="1">
        <v>9</v>
      </c>
      <c r="G20" s="1">
        <v>63</v>
      </c>
    </row>
    <row r="21" spans="1:7" ht="15" customHeight="1" x14ac:dyDescent="0.25">
      <c r="A21" s="1">
        <v>19</v>
      </c>
      <c r="B21" s="1">
        <v>135970</v>
      </c>
      <c r="C21" s="1" t="s">
        <v>170</v>
      </c>
      <c r="D21" s="1">
        <v>11</v>
      </c>
      <c r="E21" s="1">
        <v>655</v>
      </c>
      <c r="F21" s="1">
        <v>11</v>
      </c>
      <c r="G21" s="1">
        <v>60</v>
      </c>
    </row>
    <row r="22" spans="1:7" ht="15" customHeight="1" x14ac:dyDescent="0.25">
      <c r="A22" s="1">
        <v>19</v>
      </c>
      <c r="B22" s="1">
        <v>155298</v>
      </c>
      <c r="C22" s="1" t="s">
        <v>171</v>
      </c>
      <c r="D22" s="1">
        <v>9</v>
      </c>
      <c r="E22" s="1">
        <v>536</v>
      </c>
      <c r="F22" s="1">
        <v>9</v>
      </c>
      <c r="G22" s="1">
        <v>60</v>
      </c>
    </row>
    <row r="23" spans="1:7" ht="15" customHeight="1" x14ac:dyDescent="0.25">
      <c r="A23" s="1">
        <v>19</v>
      </c>
      <c r="B23" s="1">
        <v>155299</v>
      </c>
      <c r="C23" s="1" t="s">
        <v>172</v>
      </c>
      <c r="D23" s="1">
        <v>9</v>
      </c>
      <c r="E23" s="1">
        <v>536</v>
      </c>
      <c r="F23" s="1">
        <v>9</v>
      </c>
      <c r="G23" s="1">
        <v>60</v>
      </c>
    </row>
    <row r="24" spans="1:7" ht="15" customHeight="1" x14ac:dyDescent="0.25">
      <c r="A24" s="1">
        <v>22</v>
      </c>
      <c r="B24" s="1">
        <v>124661</v>
      </c>
      <c r="C24" s="1" t="s">
        <v>173</v>
      </c>
      <c r="D24" s="1">
        <v>11</v>
      </c>
      <c r="E24" s="1">
        <v>616</v>
      </c>
      <c r="F24" s="1">
        <v>11</v>
      </c>
      <c r="G24" s="1">
        <v>56</v>
      </c>
    </row>
    <row r="25" spans="1:7" ht="15" customHeight="1" x14ac:dyDescent="0.25">
      <c r="A25" s="1">
        <v>22</v>
      </c>
      <c r="B25" s="1">
        <v>98888</v>
      </c>
      <c r="C25" s="1" t="s">
        <v>174</v>
      </c>
      <c r="D25" s="1">
        <v>11</v>
      </c>
      <c r="E25" s="1">
        <v>614</v>
      </c>
      <c r="F25" s="1">
        <v>11</v>
      </c>
      <c r="G25" s="1">
        <v>56</v>
      </c>
    </row>
    <row r="26" spans="1:7" ht="15" customHeight="1" x14ac:dyDescent="0.25">
      <c r="A26" s="1">
        <v>24</v>
      </c>
      <c r="B26" s="1">
        <v>115560</v>
      </c>
      <c r="C26" s="1" t="s">
        <v>175</v>
      </c>
      <c r="D26" s="1">
        <v>8</v>
      </c>
      <c r="E26" s="1">
        <v>459</v>
      </c>
      <c r="F26" s="1">
        <v>9</v>
      </c>
      <c r="G26" s="1">
        <v>51</v>
      </c>
    </row>
    <row r="27" spans="1:7" ht="15" customHeight="1" x14ac:dyDescent="0.25">
      <c r="A27" s="1">
        <v>25</v>
      </c>
      <c r="B27" s="1">
        <v>118283</v>
      </c>
      <c r="C27" s="1" t="s">
        <v>176</v>
      </c>
      <c r="D27" s="1">
        <v>14</v>
      </c>
      <c r="E27" s="1">
        <v>636</v>
      </c>
      <c r="F27" s="1">
        <v>13</v>
      </c>
      <c r="G27" s="1">
        <v>49</v>
      </c>
    </row>
    <row r="28" spans="1:7" ht="15" customHeight="1" x14ac:dyDescent="0.25">
      <c r="A28" s="1">
        <v>26</v>
      </c>
      <c r="B28" s="1">
        <v>122143</v>
      </c>
      <c r="C28" s="1" t="s">
        <v>177</v>
      </c>
      <c r="D28" s="1">
        <v>7</v>
      </c>
      <c r="E28" s="1">
        <v>421</v>
      </c>
      <c r="F28" s="1">
        <v>9</v>
      </c>
      <c r="G28" s="1">
        <v>47</v>
      </c>
    </row>
    <row r="29" spans="1:7" ht="15" customHeight="1" x14ac:dyDescent="0.25">
      <c r="A29" s="1">
        <v>27</v>
      </c>
      <c r="B29" s="1">
        <v>124377</v>
      </c>
      <c r="C29" s="1" t="s">
        <v>178</v>
      </c>
      <c r="D29" s="1">
        <v>15</v>
      </c>
      <c r="E29" s="1">
        <v>626</v>
      </c>
      <c r="F29" s="1">
        <v>14</v>
      </c>
      <c r="G29" s="1">
        <v>45</v>
      </c>
    </row>
    <row r="30" spans="1:7" ht="15" customHeight="1" x14ac:dyDescent="0.25">
      <c r="A30" s="1">
        <v>27</v>
      </c>
      <c r="B30" s="1">
        <v>155976</v>
      </c>
      <c r="C30" s="1" t="s">
        <v>179</v>
      </c>
      <c r="D30" s="1">
        <v>13</v>
      </c>
      <c r="E30" s="1">
        <v>582</v>
      </c>
      <c r="F30" s="1">
        <v>13</v>
      </c>
      <c r="G30" s="1">
        <v>45</v>
      </c>
    </row>
    <row r="31" spans="1:7" ht="15" customHeight="1" x14ac:dyDescent="0.25">
      <c r="A31" s="1">
        <v>29</v>
      </c>
      <c r="B31" s="1">
        <v>144797</v>
      </c>
      <c r="C31" s="1" t="s">
        <v>180</v>
      </c>
      <c r="D31" s="1">
        <v>11</v>
      </c>
      <c r="E31" s="1">
        <v>442</v>
      </c>
      <c r="F31" s="1">
        <v>11</v>
      </c>
      <c r="G31" s="1">
        <v>40</v>
      </c>
    </row>
    <row r="32" spans="1:7" ht="15" customHeight="1" x14ac:dyDescent="0.25">
      <c r="A32" s="1">
        <v>29</v>
      </c>
      <c r="B32" s="1">
        <v>139072</v>
      </c>
      <c r="C32" s="1" t="s">
        <v>181</v>
      </c>
      <c r="D32" s="1">
        <v>12</v>
      </c>
      <c r="E32" s="1">
        <v>482</v>
      </c>
      <c r="F32" s="1">
        <v>12</v>
      </c>
      <c r="G32" s="1">
        <v>40</v>
      </c>
    </row>
    <row r="33" spans="1:7" ht="15" customHeight="1" x14ac:dyDescent="0.25">
      <c r="A33" s="1">
        <v>29</v>
      </c>
      <c r="B33" s="1">
        <v>96748</v>
      </c>
      <c r="C33" s="1" t="s">
        <v>182</v>
      </c>
      <c r="D33" s="1">
        <v>11</v>
      </c>
      <c r="E33" s="1">
        <v>442</v>
      </c>
      <c r="F33" s="1">
        <v>11</v>
      </c>
      <c r="G33" s="1">
        <v>40</v>
      </c>
    </row>
    <row r="34" spans="1:7" ht="15" customHeight="1" x14ac:dyDescent="0.25">
      <c r="A34" s="1">
        <v>32</v>
      </c>
      <c r="B34" s="1">
        <v>145049</v>
      </c>
      <c r="C34" s="1" t="s">
        <v>57</v>
      </c>
      <c r="D34" s="1">
        <v>4</v>
      </c>
      <c r="E34" s="1">
        <v>350</v>
      </c>
      <c r="F34" s="1">
        <v>9</v>
      </c>
      <c r="G34" s="1">
        <v>39</v>
      </c>
    </row>
    <row r="35" spans="1:7" ht="15" customHeight="1" x14ac:dyDescent="0.25">
      <c r="A35" s="1">
        <v>33</v>
      </c>
      <c r="B35" s="1">
        <v>123835</v>
      </c>
      <c r="C35" s="1" t="s">
        <v>183</v>
      </c>
      <c r="D35" s="1">
        <v>3</v>
      </c>
      <c r="E35" s="1">
        <v>332</v>
      </c>
      <c r="F35" s="1">
        <v>9</v>
      </c>
      <c r="G35" s="1">
        <v>37</v>
      </c>
    </row>
    <row r="36" spans="1:7" ht="15" customHeight="1" x14ac:dyDescent="0.25">
      <c r="A36" s="1">
        <v>34</v>
      </c>
      <c r="B36" s="1">
        <v>123922</v>
      </c>
      <c r="C36" s="1" t="s">
        <v>184</v>
      </c>
      <c r="D36" s="1">
        <v>7</v>
      </c>
      <c r="E36" s="1">
        <v>275</v>
      </c>
      <c r="F36" s="1">
        <v>9</v>
      </c>
      <c r="G36" s="1">
        <v>31</v>
      </c>
    </row>
    <row r="37" spans="1:7" ht="15" customHeight="1" x14ac:dyDescent="0.25">
      <c r="A37" s="1">
        <v>35</v>
      </c>
      <c r="B37" s="1">
        <v>139490</v>
      </c>
      <c r="C37" s="1" t="s">
        <v>185</v>
      </c>
      <c r="D37" s="1">
        <v>14</v>
      </c>
      <c r="E37" s="1">
        <v>396</v>
      </c>
      <c r="F37" s="1">
        <v>13</v>
      </c>
      <c r="G37" s="1">
        <v>30</v>
      </c>
    </row>
    <row r="38" spans="1:7" ht="15" customHeight="1" x14ac:dyDescent="0.25">
      <c r="A38" s="1">
        <v>36</v>
      </c>
      <c r="B38" s="1">
        <v>136309</v>
      </c>
      <c r="C38" s="1" t="s">
        <v>186</v>
      </c>
      <c r="D38" s="1">
        <v>6</v>
      </c>
      <c r="E38" s="1">
        <v>257</v>
      </c>
      <c r="F38" s="1">
        <v>9</v>
      </c>
      <c r="G38" s="1">
        <v>29</v>
      </c>
    </row>
    <row r="39" spans="1:7" ht="15" customHeight="1" x14ac:dyDescent="0.25">
      <c r="A39" s="1">
        <v>36</v>
      </c>
      <c r="B39" s="1">
        <v>155810</v>
      </c>
      <c r="C39" s="1" t="s">
        <v>187</v>
      </c>
      <c r="D39" s="1">
        <v>3</v>
      </c>
      <c r="E39" s="1">
        <v>258</v>
      </c>
      <c r="F39" s="1">
        <v>9</v>
      </c>
      <c r="G39" s="1">
        <v>29</v>
      </c>
    </row>
    <row r="40" spans="1:7" ht="15" customHeight="1" x14ac:dyDescent="0.25">
      <c r="A40" s="1">
        <v>36</v>
      </c>
      <c r="B40" s="1">
        <v>135799</v>
      </c>
      <c r="C40" s="1" t="s">
        <v>64</v>
      </c>
      <c r="D40" s="1">
        <v>3</v>
      </c>
      <c r="E40" s="1">
        <v>264</v>
      </c>
      <c r="F40" s="1">
        <v>9</v>
      </c>
      <c r="G40" s="1">
        <v>29</v>
      </c>
    </row>
    <row r="41" spans="1:7" ht="15" customHeight="1" x14ac:dyDescent="0.25">
      <c r="A41" s="1">
        <v>39</v>
      </c>
      <c r="B41" s="1">
        <v>109427</v>
      </c>
      <c r="C41" s="1" t="s">
        <v>188</v>
      </c>
      <c r="D41" s="1">
        <v>1</v>
      </c>
      <c r="E41" s="1">
        <v>250</v>
      </c>
      <c r="F41" s="1">
        <v>9</v>
      </c>
      <c r="G41" s="1">
        <v>28</v>
      </c>
    </row>
    <row r="42" spans="1:7" ht="15" customHeight="1" x14ac:dyDescent="0.25">
      <c r="A42" s="1">
        <v>39</v>
      </c>
      <c r="B42" s="1">
        <v>114876</v>
      </c>
      <c r="C42" s="1" t="s">
        <v>189</v>
      </c>
      <c r="D42" s="1">
        <v>1</v>
      </c>
      <c r="E42" s="1">
        <v>250</v>
      </c>
      <c r="F42" s="1">
        <v>9</v>
      </c>
      <c r="G42" s="1">
        <v>28</v>
      </c>
    </row>
    <row r="43" spans="1:7" ht="15" customHeight="1" x14ac:dyDescent="0.25">
      <c r="A43" s="1">
        <v>41</v>
      </c>
      <c r="B43" s="1">
        <v>139002</v>
      </c>
      <c r="C43" s="1" t="s">
        <v>190</v>
      </c>
      <c r="D43" s="1">
        <v>6</v>
      </c>
      <c r="E43" s="1">
        <v>186</v>
      </c>
      <c r="F43" s="1">
        <v>9</v>
      </c>
      <c r="G43" s="1">
        <v>21</v>
      </c>
    </row>
    <row r="44" spans="1:7" ht="15" customHeight="1" x14ac:dyDescent="0.25">
      <c r="A44" s="1">
        <v>42</v>
      </c>
      <c r="B44" s="1">
        <v>113797</v>
      </c>
      <c r="C44" s="1" t="s">
        <v>62</v>
      </c>
      <c r="D44" s="1">
        <v>1</v>
      </c>
      <c r="E44" s="1">
        <v>175</v>
      </c>
      <c r="F44" s="1">
        <v>9</v>
      </c>
      <c r="G44" s="1">
        <v>19</v>
      </c>
    </row>
    <row r="45" spans="1:7" ht="15" customHeight="1" x14ac:dyDescent="0.25">
      <c r="A45" s="1">
        <v>43</v>
      </c>
      <c r="B45" s="1">
        <v>128994</v>
      </c>
      <c r="C45" s="1" t="s">
        <v>191</v>
      </c>
      <c r="D45" s="1">
        <v>2</v>
      </c>
      <c r="E45" s="1">
        <v>159</v>
      </c>
      <c r="F45" s="1">
        <v>9</v>
      </c>
      <c r="G45" s="1">
        <v>18</v>
      </c>
    </row>
    <row r="46" spans="1:7" ht="15" customHeight="1" x14ac:dyDescent="0.25">
      <c r="A46" s="1">
        <v>43</v>
      </c>
      <c r="B46" s="1">
        <v>140101</v>
      </c>
      <c r="C46" s="1" t="s">
        <v>63</v>
      </c>
      <c r="D46" s="1">
        <v>4</v>
      </c>
      <c r="E46" s="1">
        <v>161</v>
      </c>
      <c r="F46" s="1">
        <v>9</v>
      </c>
      <c r="G46" s="1">
        <v>18</v>
      </c>
    </row>
    <row r="47" spans="1:7" ht="15" customHeight="1" x14ac:dyDescent="0.25">
      <c r="A47" s="1">
        <v>43</v>
      </c>
      <c r="B47" s="1">
        <v>154411</v>
      </c>
      <c r="C47" s="1" t="s">
        <v>192</v>
      </c>
      <c r="D47" s="1">
        <v>5</v>
      </c>
      <c r="E47" s="1">
        <v>163</v>
      </c>
      <c r="F47" s="1">
        <v>9</v>
      </c>
      <c r="G47" s="1">
        <v>18</v>
      </c>
    </row>
    <row r="48" spans="1:7" ht="15" customHeight="1" x14ac:dyDescent="0.25">
      <c r="A48" s="1">
        <v>43</v>
      </c>
      <c r="B48" s="1">
        <v>156303</v>
      </c>
      <c r="C48" s="1" t="s">
        <v>193</v>
      </c>
      <c r="D48" s="1">
        <v>5</v>
      </c>
      <c r="E48" s="1">
        <v>163</v>
      </c>
      <c r="F48" s="1">
        <v>9</v>
      </c>
      <c r="G48" s="1">
        <v>18</v>
      </c>
    </row>
    <row r="49" spans="1:7" ht="15" customHeight="1" x14ac:dyDescent="0.25">
      <c r="A49" s="1">
        <v>47</v>
      </c>
      <c r="B49" s="1">
        <v>132357</v>
      </c>
      <c r="C49" s="1" t="s">
        <v>194</v>
      </c>
      <c r="D49" s="1">
        <v>1</v>
      </c>
      <c r="E49" s="1">
        <v>123</v>
      </c>
      <c r="F49" s="1">
        <v>9</v>
      </c>
      <c r="G49" s="1">
        <v>14</v>
      </c>
    </row>
    <row r="50" spans="1:7" ht="15" customHeight="1" x14ac:dyDescent="0.25">
      <c r="A50" s="1">
        <v>48</v>
      </c>
      <c r="B50" s="1">
        <v>156741</v>
      </c>
      <c r="C50" s="1" t="s">
        <v>195</v>
      </c>
      <c r="D50" s="1">
        <v>5</v>
      </c>
      <c r="E50" s="1">
        <v>120</v>
      </c>
      <c r="F50" s="1">
        <v>9</v>
      </c>
      <c r="G50" s="1">
        <v>13</v>
      </c>
    </row>
    <row r="51" spans="1:7" ht="15" customHeight="1" x14ac:dyDescent="0.25">
      <c r="A51" s="1">
        <v>48</v>
      </c>
      <c r="B51" s="1">
        <v>156266</v>
      </c>
      <c r="C51" s="1" t="s">
        <v>196</v>
      </c>
      <c r="D51" s="1">
        <v>5</v>
      </c>
      <c r="E51" s="1">
        <v>120</v>
      </c>
      <c r="F51" s="1">
        <v>9</v>
      </c>
      <c r="G51" s="1">
        <v>13</v>
      </c>
    </row>
    <row r="52" spans="1:7" ht="15" customHeight="1" x14ac:dyDescent="0.25">
      <c r="A52" s="1">
        <v>50</v>
      </c>
      <c r="B52" s="1">
        <v>163957</v>
      </c>
      <c r="C52" s="1" t="s">
        <v>78</v>
      </c>
      <c r="D52" s="1">
        <v>1</v>
      </c>
      <c r="E52" s="1">
        <v>86</v>
      </c>
      <c r="F52" s="1">
        <v>9</v>
      </c>
      <c r="G52" s="1">
        <v>10</v>
      </c>
    </row>
    <row r="53" spans="1:7" ht="15" customHeight="1" x14ac:dyDescent="0.25">
      <c r="A53" s="1">
        <v>50</v>
      </c>
      <c r="B53" s="1">
        <v>149474</v>
      </c>
      <c r="C53" s="1" t="s">
        <v>197</v>
      </c>
      <c r="D53" s="1">
        <v>5</v>
      </c>
      <c r="E53" s="1">
        <v>92</v>
      </c>
      <c r="F53" s="1">
        <v>9</v>
      </c>
      <c r="G53" s="1">
        <v>10</v>
      </c>
    </row>
    <row r="54" spans="1:7" ht="15" customHeight="1" x14ac:dyDescent="0.25">
      <c r="A54" s="1">
        <v>50</v>
      </c>
      <c r="B54" s="1">
        <v>116692</v>
      </c>
      <c r="C54" s="1" t="s">
        <v>87</v>
      </c>
      <c r="D54" s="1">
        <v>1</v>
      </c>
      <c r="E54" s="1">
        <v>86</v>
      </c>
      <c r="F54" s="1">
        <v>9</v>
      </c>
      <c r="G54" s="1">
        <v>10</v>
      </c>
    </row>
    <row r="55" spans="1:7" ht="15" customHeight="1" x14ac:dyDescent="0.25">
      <c r="A55" s="1">
        <v>53</v>
      </c>
      <c r="B55" s="1">
        <v>156042</v>
      </c>
      <c r="C55" s="1" t="s">
        <v>198</v>
      </c>
      <c r="D55" s="1">
        <v>4</v>
      </c>
      <c r="E55" s="1">
        <v>77</v>
      </c>
      <c r="F55" s="1">
        <v>9</v>
      </c>
      <c r="G55" s="1">
        <v>9</v>
      </c>
    </row>
    <row r="56" spans="1:7" ht="15" customHeight="1" x14ac:dyDescent="0.25">
      <c r="A56" s="1">
        <v>54</v>
      </c>
      <c r="B56" s="1">
        <v>159314</v>
      </c>
      <c r="C56" s="1" t="s">
        <v>199</v>
      </c>
      <c r="D56" s="1">
        <v>3</v>
      </c>
      <c r="E56" s="1">
        <v>73</v>
      </c>
      <c r="F56" s="1">
        <v>9</v>
      </c>
      <c r="G56" s="1">
        <v>8</v>
      </c>
    </row>
    <row r="57" spans="1:7" ht="15" customHeight="1" x14ac:dyDescent="0.25">
      <c r="A57" s="1">
        <v>55</v>
      </c>
      <c r="B57" s="1">
        <v>119615</v>
      </c>
      <c r="C57" s="1" t="s">
        <v>200</v>
      </c>
      <c r="D57" s="1">
        <v>1</v>
      </c>
      <c r="E57" s="1">
        <v>60</v>
      </c>
      <c r="F57" s="1">
        <v>9</v>
      </c>
      <c r="G57" s="1">
        <v>7</v>
      </c>
    </row>
    <row r="58" spans="1:7" ht="15" customHeight="1" x14ac:dyDescent="0.25">
      <c r="A58" s="1">
        <v>55</v>
      </c>
      <c r="B58" s="1">
        <v>123726</v>
      </c>
      <c r="C58" s="1" t="s">
        <v>201</v>
      </c>
      <c r="D58" s="1">
        <v>1</v>
      </c>
      <c r="E58" s="1">
        <v>60</v>
      </c>
      <c r="F58" s="1">
        <v>9</v>
      </c>
      <c r="G58" s="1">
        <v>7</v>
      </c>
    </row>
    <row r="59" spans="1:7" ht="15" customHeight="1" x14ac:dyDescent="0.25">
      <c r="A59" s="1">
        <v>57</v>
      </c>
      <c r="B59" s="1">
        <v>141876</v>
      </c>
      <c r="C59" s="1" t="s">
        <v>202</v>
      </c>
      <c r="D59" s="1">
        <v>3</v>
      </c>
      <c r="E59" s="1">
        <v>54</v>
      </c>
      <c r="F59" s="1">
        <v>9</v>
      </c>
      <c r="G59" s="1">
        <v>6</v>
      </c>
    </row>
    <row r="60" spans="1:7" ht="15" customHeight="1" x14ac:dyDescent="0.25">
      <c r="A60" s="1">
        <v>58</v>
      </c>
      <c r="B60" s="1">
        <v>159646</v>
      </c>
      <c r="C60" s="1" t="s">
        <v>203</v>
      </c>
      <c r="D60" s="1">
        <v>2</v>
      </c>
      <c r="E60" s="1">
        <v>36</v>
      </c>
      <c r="F60" s="1">
        <v>9</v>
      </c>
      <c r="G60" s="1">
        <v>4</v>
      </c>
    </row>
    <row r="61" spans="1:7" ht="15" customHeight="1" x14ac:dyDescent="0.25">
      <c r="A61" s="1">
        <v>58</v>
      </c>
      <c r="B61" s="1">
        <v>156317</v>
      </c>
      <c r="C61" s="1" t="s">
        <v>204</v>
      </c>
      <c r="D61" s="1">
        <v>2</v>
      </c>
      <c r="E61" s="1">
        <v>33</v>
      </c>
      <c r="F61" s="1">
        <v>9</v>
      </c>
      <c r="G61" s="1">
        <v>4</v>
      </c>
    </row>
    <row r="62" spans="1:7" ht="15" customHeight="1" x14ac:dyDescent="0.25">
      <c r="A62" s="1">
        <v>58</v>
      </c>
      <c r="B62" s="1">
        <v>141763</v>
      </c>
      <c r="C62" s="1" t="s">
        <v>205</v>
      </c>
      <c r="D62" s="1">
        <v>2</v>
      </c>
      <c r="E62" s="1">
        <v>36</v>
      </c>
      <c r="F62" s="1">
        <v>9</v>
      </c>
      <c r="G62" s="1">
        <v>4</v>
      </c>
    </row>
    <row r="63" spans="1:7" ht="15" customHeight="1" x14ac:dyDescent="0.25">
      <c r="A63" s="1">
        <v>58</v>
      </c>
      <c r="B63" s="1">
        <v>122124</v>
      </c>
      <c r="C63" s="1" t="s">
        <v>206</v>
      </c>
      <c r="D63" s="1">
        <v>2</v>
      </c>
      <c r="E63" s="1">
        <v>36</v>
      </c>
      <c r="F63" s="1">
        <v>9</v>
      </c>
      <c r="G63" s="1">
        <v>4</v>
      </c>
    </row>
    <row r="64" spans="1:7" ht="15" customHeight="1" x14ac:dyDescent="0.25">
      <c r="A64" s="1">
        <v>58</v>
      </c>
      <c r="B64" s="1">
        <v>117098</v>
      </c>
      <c r="C64" s="1" t="s">
        <v>207</v>
      </c>
      <c r="D64" s="1">
        <v>2</v>
      </c>
      <c r="E64" s="1">
        <v>36</v>
      </c>
      <c r="F64" s="1">
        <v>9</v>
      </c>
      <c r="G64" s="1">
        <v>4</v>
      </c>
    </row>
    <row r="65" spans="1:7" ht="15" customHeight="1" x14ac:dyDescent="0.25">
      <c r="A65" s="1">
        <v>63</v>
      </c>
      <c r="B65" s="1">
        <v>169418</v>
      </c>
      <c r="C65" s="1" t="s">
        <v>208</v>
      </c>
      <c r="D65" s="1">
        <v>1</v>
      </c>
      <c r="E65" s="1">
        <v>29</v>
      </c>
      <c r="F65" s="1">
        <v>9</v>
      </c>
      <c r="G65" s="1">
        <v>3</v>
      </c>
    </row>
    <row r="66" spans="1:7" ht="15" customHeight="1" x14ac:dyDescent="0.25">
      <c r="A66" s="1">
        <v>63</v>
      </c>
      <c r="B66" s="1">
        <v>170098</v>
      </c>
      <c r="C66" s="1" t="s">
        <v>209</v>
      </c>
      <c r="D66" s="1">
        <v>1</v>
      </c>
      <c r="E66" s="1">
        <v>23</v>
      </c>
      <c r="F66" s="1">
        <v>9</v>
      </c>
      <c r="G66" s="1">
        <v>3</v>
      </c>
    </row>
    <row r="67" spans="1:7" ht="15" customHeight="1" x14ac:dyDescent="0.25">
      <c r="A67" s="1">
        <v>63</v>
      </c>
      <c r="B67" s="1">
        <v>170100</v>
      </c>
      <c r="C67" s="1" t="s">
        <v>210</v>
      </c>
      <c r="D67" s="1">
        <v>1</v>
      </c>
      <c r="E67" s="1">
        <v>23</v>
      </c>
      <c r="F67" s="1">
        <v>9</v>
      </c>
      <c r="G67" s="1">
        <v>3</v>
      </c>
    </row>
    <row r="68" spans="1:7" ht="15" customHeight="1" x14ac:dyDescent="0.25">
      <c r="A68" s="1">
        <v>66</v>
      </c>
      <c r="B68" s="1">
        <v>169761</v>
      </c>
      <c r="C68" s="1" t="s">
        <v>211</v>
      </c>
      <c r="D68" s="1">
        <v>1</v>
      </c>
      <c r="E68" s="1">
        <v>18</v>
      </c>
      <c r="F68" s="1">
        <v>9</v>
      </c>
      <c r="G68" s="1">
        <v>2</v>
      </c>
    </row>
    <row r="69" spans="1:7" ht="15" customHeight="1" x14ac:dyDescent="0.25">
      <c r="A69" s="1">
        <v>66</v>
      </c>
      <c r="B69" s="1">
        <v>169763</v>
      </c>
      <c r="C69" s="1" t="s">
        <v>212</v>
      </c>
      <c r="D69" s="1">
        <v>1</v>
      </c>
      <c r="E69" s="1">
        <v>18</v>
      </c>
      <c r="F69" s="1">
        <v>9</v>
      </c>
      <c r="G69" s="1">
        <v>2</v>
      </c>
    </row>
    <row r="70" spans="1:7" ht="15" customHeight="1" x14ac:dyDescent="0.25">
      <c r="A70" s="1">
        <v>66</v>
      </c>
      <c r="B70" s="1">
        <v>168269</v>
      </c>
      <c r="C70" s="1" t="s">
        <v>213</v>
      </c>
      <c r="D70" s="1">
        <v>1</v>
      </c>
      <c r="E70" s="1">
        <v>18</v>
      </c>
      <c r="F70" s="1">
        <v>9</v>
      </c>
      <c r="G70" s="1">
        <v>2</v>
      </c>
    </row>
    <row r="71" spans="1:7" ht="15" customHeight="1" x14ac:dyDescent="0.25">
      <c r="A71" s="1">
        <v>66</v>
      </c>
      <c r="B71" s="1">
        <v>98735</v>
      </c>
      <c r="C71" s="1" t="s">
        <v>214</v>
      </c>
      <c r="D71" s="1">
        <v>1</v>
      </c>
      <c r="E71" s="1">
        <v>18</v>
      </c>
      <c r="F71" s="1">
        <v>9</v>
      </c>
      <c r="G71" s="1">
        <v>2</v>
      </c>
    </row>
    <row r="72" spans="1:7" ht="15" customHeight="1" x14ac:dyDescent="0.25">
      <c r="A72" s="1">
        <v>66</v>
      </c>
      <c r="B72" s="1">
        <v>149468</v>
      </c>
      <c r="C72" s="1" t="s">
        <v>69</v>
      </c>
      <c r="D72" s="1">
        <v>1</v>
      </c>
      <c r="E72" s="1">
        <v>18</v>
      </c>
      <c r="F72" s="1">
        <v>9</v>
      </c>
      <c r="G72" s="1">
        <v>2</v>
      </c>
    </row>
    <row r="73" spans="1:7" ht="15" customHeight="1" x14ac:dyDescent="0.25">
      <c r="A73" s="1">
        <v>66</v>
      </c>
      <c r="B73" s="1">
        <v>138946</v>
      </c>
      <c r="C73" s="1" t="s">
        <v>215</v>
      </c>
      <c r="D73" s="1">
        <v>1</v>
      </c>
      <c r="E73" s="1">
        <v>18</v>
      </c>
      <c r="F73" s="1">
        <v>9</v>
      </c>
      <c r="G73" s="1">
        <v>2</v>
      </c>
    </row>
    <row r="74" spans="1:7" ht="15" customHeight="1" x14ac:dyDescent="0.25">
      <c r="A74" s="1">
        <v>66</v>
      </c>
      <c r="B74" s="1">
        <v>136901</v>
      </c>
      <c r="C74" s="1" t="s">
        <v>70</v>
      </c>
      <c r="D74" s="1">
        <v>1</v>
      </c>
      <c r="E74" s="1">
        <v>18</v>
      </c>
      <c r="F74" s="1">
        <v>9</v>
      </c>
      <c r="G74" s="1">
        <v>2</v>
      </c>
    </row>
    <row r="75" spans="1:7" ht="15" customHeight="1" x14ac:dyDescent="0.25">
      <c r="A75" s="1">
        <v>66</v>
      </c>
      <c r="B75" s="1">
        <v>137026</v>
      </c>
      <c r="C75" s="1" t="s">
        <v>216</v>
      </c>
      <c r="D75" s="1">
        <v>1</v>
      </c>
      <c r="E75" s="1">
        <v>18</v>
      </c>
      <c r="F75" s="1">
        <v>9</v>
      </c>
      <c r="G75" s="1">
        <v>2</v>
      </c>
    </row>
    <row r="76" spans="1:7" ht="15" customHeight="1" x14ac:dyDescent="0.25">
      <c r="A76" s="1">
        <v>66</v>
      </c>
      <c r="B76" s="1">
        <v>156077</v>
      </c>
      <c r="C76" s="1" t="s">
        <v>217</v>
      </c>
      <c r="D76" s="1">
        <v>1</v>
      </c>
      <c r="E76" s="1">
        <v>18</v>
      </c>
      <c r="F76" s="1">
        <v>9</v>
      </c>
      <c r="G76" s="1">
        <v>2</v>
      </c>
    </row>
    <row r="77" spans="1:7" ht="15" customHeight="1" x14ac:dyDescent="0.25">
      <c r="A77" s="1">
        <v>66</v>
      </c>
      <c r="B77" s="1">
        <v>157672</v>
      </c>
      <c r="C77" s="1" t="s">
        <v>218</v>
      </c>
      <c r="D77" s="1">
        <v>1</v>
      </c>
      <c r="E77" s="1">
        <v>18</v>
      </c>
      <c r="F77" s="1">
        <v>9</v>
      </c>
      <c r="G77" s="1">
        <v>2</v>
      </c>
    </row>
    <row r="78" spans="1:7" ht="15" customHeight="1" x14ac:dyDescent="0.25">
      <c r="A78" s="1">
        <v>66</v>
      </c>
      <c r="B78" s="1">
        <v>158382</v>
      </c>
      <c r="C78" s="1" t="s">
        <v>219</v>
      </c>
      <c r="D78" s="1">
        <v>1</v>
      </c>
      <c r="E78" s="1">
        <v>18</v>
      </c>
      <c r="F78" s="1">
        <v>9</v>
      </c>
      <c r="G78" s="1">
        <v>2</v>
      </c>
    </row>
    <row r="79" spans="1:7" ht="15" customHeight="1" x14ac:dyDescent="0.25">
      <c r="A79" s="1">
        <v>66</v>
      </c>
      <c r="B79" s="1">
        <v>152194</v>
      </c>
      <c r="C79" s="1" t="s">
        <v>220</v>
      </c>
      <c r="D79" s="1">
        <v>1</v>
      </c>
      <c r="E79" s="1">
        <v>18</v>
      </c>
      <c r="F79" s="1">
        <v>9</v>
      </c>
      <c r="G79" s="1">
        <v>2</v>
      </c>
    </row>
    <row r="80" spans="1:7" ht="15" customHeight="1" x14ac:dyDescent="0.25">
      <c r="A80" s="1">
        <v>78</v>
      </c>
      <c r="B80" s="1">
        <v>115489</v>
      </c>
      <c r="C80" s="1" t="s">
        <v>221</v>
      </c>
      <c r="D80" s="1">
        <v>1</v>
      </c>
      <c r="E80" s="1">
        <v>0</v>
      </c>
      <c r="F80" s="1">
        <v>9</v>
      </c>
      <c r="G80" s="1">
        <v>0</v>
      </c>
    </row>
    <row r="81" spans="1:7" ht="15" customHeight="1" x14ac:dyDescent="0.25">
      <c r="A81" s="1"/>
      <c r="B81" s="1"/>
      <c r="C81" s="1"/>
      <c r="D81" s="1"/>
      <c r="E81" s="1"/>
      <c r="F81" s="1"/>
      <c r="G81" s="1"/>
    </row>
    <row r="82" spans="1:7" ht="15" customHeight="1" x14ac:dyDescent="0.25">
      <c r="A82" s="1"/>
      <c r="B82" s="1"/>
      <c r="C82" s="1"/>
      <c r="D82" s="1"/>
      <c r="E82" s="1"/>
      <c r="F82" s="1"/>
      <c r="G82" s="1"/>
    </row>
  </sheetData>
  <dataConsolidate/>
  <mergeCells count="3">
    <mergeCell ref="A1:A2"/>
    <mergeCell ref="B1:B2"/>
    <mergeCell ref="C1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otonHistorial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35"/>
  <sheetViews>
    <sheetView workbookViewId="0">
      <selection activeCell="I13" sqref="I13"/>
    </sheetView>
  </sheetViews>
  <sheetFormatPr baseColWidth="10" defaultRowHeight="15" customHeight="1" x14ac:dyDescent="0.25"/>
  <cols>
    <col min="1" max="1" width="4.7109375" bestFit="1" customWidth="1"/>
    <col min="2" max="2" width="7.7109375" bestFit="1" customWidth="1"/>
    <col min="3" max="3" width="39.85546875" bestFit="1" customWidth="1"/>
    <col min="4" max="4" width="7.85546875" bestFit="1" customWidth="1"/>
    <col min="5" max="5" width="7.140625" bestFit="1" customWidth="1"/>
    <col min="6" max="7" width="8" bestFit="1" customWidth="1"/>
    <col min="13" max="13" width="5.28515625" customWidth="1"/>
  </cols>
  <sheetData>
    <row r="1" spans="1:22" ht="15" customHeight="1" x14ac:dyDescent="0.25">
      <c r="A1" s="9" t="s">
        <v>46</v>
      </c>
      <c r="B1" s="9" t="s">
        <v>47</v>
      </c>
      <c r="C1" s="9" t="s">
        <v>48</v>
      </c>
      <c r="D1" s="5" t="s">
        <v>49</v>
      </c>
      <c r="E1" s="5" t="s">
        <v>51</v>
      </c>
      <c r="F1" s="5" t="s">
        <v>49</v>
      </c>
      <c r="G1" s="5" t="s">
        <v>51</v>
      </c>
    </row>
    <row r="2" spans="1:22" ht="15" customHeight="1" x14ac:dyDescent="0.25">
      <c r="A2" s="9"/>
      <c r="B2" s="9"/>
      <c r="C2" s="9"/>
      <c r="D2" s="5" t="s">
        <v>50</v>
      </c>
      <c r="E2" s="5" t="s">
        <v>52</v>
      </c>
      <c r="F2" s="5" t="s">
        <v>53</v>
      </c>
      <c r="G2" s="5" t="s">
        <v>53</v>
      </c>
    </row>
    <row r="3" spans="1:22" ht="15" customHeight="1" x14ac:dyDescent="0.25">
      <c r="A3" s="1">
        <v>1</v>
      </c>
      <c r="B3" s="1">
        <v>123685</v>
      </c>
      <c r="C3" s="1" t="s">
        <v>54</v>
      </c>
      <c r="D3" s="1">
        <v>15</v>
      </c>
      <c r="E3" s="6">
        <v>2874</v>
      </c>
      <c r="F3" s="1">
        <v>14</v>
      </c>
      <c r="G3" s="1">
        <v>205</v>
      </c>
    </row>
    <row r="4" spans="1:22" ht="15" customHeight="1" x14ac:dyDescent="0.25">
      <c r="A4" s="1">
        <v>2</v>
      </c>
      <c r="B4" s="1">
        <v>136028</v>
      </c>
      <c r="C4" s="1" t="s">
        <v>55</v>
      </c>
      <c r="D4" s="1">
        <v>16</v>
      </c>
      <c r="E4" s="6">
        <v>2997</v>
      </c>
      <c r="F4" s="1">
        <v>15</v>
      </c>
      <c r="G4" s="1">
        <v>200</v>
      </c>
    </row>
    <row r="5" spans="1:22" ht="15" customHeight="1" x14ac:dyDescent="0.25">
      <c r="A5" s="1">
        <v>3</v>
      </c>
      <c r="B5" s="1">
        <v>145049</v>
      </c>
      <c r="C5" s="1" t="s">
        <v>57</v>
      </c>
      <c r="D5" s="1">
        <v>11</v>
      </c>
      <c r="E5" s="6">
        <v>1955</v>
      </c>
      <c r="F5" s="1">
        <v>11</v>
      </c>
      <c r="G5" s="1">
        <v>178</v>
      </c>
    </row>
    <row r="6" spans="1:22" ht="15" customHeight="1" x14ac:dyDescent="0.25">
      <c r="A6" s="1">
        <v>4</v>
      </c>
      <c r="B6" s="1">
        <v>132059</v>
      </c>
      <c r="C6" s="1" t="s">
        <v>58</v>
      </c>
      <c r="D6" s="1">
        <v>13</v>
      </c>
      <c r="E6" s="6">
        <v>2176</v>
      </c>
      <c r="F6" s="1">
        <v>13</v>
      </c>
      <c r="G6" s="1">
        <v>167</v>
      </c>
      <c r="T6" t="s">
        <v>115</v>
      </c>
      <c r="V6">
        <v>250</v>
      </c>
    </row>
    <row r="7" spans="1:22" ht="15" customHeight="1" x14ac:dyDescent="0.25">
      <c r="A7" s="1">
        <v>5</v>
      </c>
      <c r="B7" s="1">
        <v>124375</v>
      </c>
      <c r="C7" s="1" t="s">
        <v>59</v>
      </c>
      <c r="D7" s="1">
        <v>16</v>
      </c>
      <c r="E7" s="6">
        <v>2268</v>
      </c>
      <c r="F7" s="1">
        <v>15</v>
      </c>
      <c r="G7" s="1">
        <v>151</v>
      </c>
      <c r="T7" t="s">
        <v>117</v>
      </c>
      <c r="V7">
        <v>175</v>
      </c>
    </row>
    <row r="8" spans="1:22" ht="15" customHeight="1" x14ac:dyDescent="0.25">
      <c r="A8" s="1">
        <v>6</v>
      </c>
      <c r="B8" s="1">
        <v>140101</v>
      </c>
      <c r="C8" s="1" t="s">
        <v>63</v>
      </c>
      <c r="D8" s="1">
        <v>12</v>
      </c>
      <c r="E8" s="6">
        <v>1325</v>
      </c>
      <c r="F8" s="1">
        <v>12</v>
      </c>
      <c r="G8" s="1">
        <v>110</v>
      </c>
      <c r="T8" t="s">
        <v>114</v>
      </c>
      <c r="V8">
        <v>123</v>
      </c>
    </row>
    <row r="9" spans="1:22" ht="15" customHeight="1" x14ac:dyDescent="0.25">
      <c r="A9" s="1">
        <v>7</v>
      </c>
      <c r="B9" s="1">
        <v>135799</v>
      </c>
      <c r="C9" s="1" t="s">
        <v>64</v>
      </c>
      <c r="D9" s="1">
        <v>12</v>
      </c>
      <c r="E9" s="6">
        <v>1194</v>
      </c>
      <c r="F9" s="1">
        <v>12</v>
      </c>
      <c r="G9" s="1">
        <v>100</v>
      </c>
      <c r="T9" t="s">
        <v>120</v>
      </c>
      <c r="V9">
        <v>86</v>
      </c>
    </row>
    <row r="10" spans="1:22" ht="15" customHeight="1" x14ac:dyDescent="0.25">
      <c r="A10" s="1">
        <v>8</v>
      </c>
      <c r="B10" s="1">
        <v>152205</v>
      </c>
      <c r="C10" s="1" t="s">
        <v>65</v>
      </c>
      <c r="D10" s="1">
        <v>14</v>
      </c>
      <c r="E10" s="6">
        <v>1297</v>
      </c>
      <c r="F10" s="1">
        <v>13</v>
      </c>
      <c r="G10" s="1">
        <v>100</v>
      </c>
      <c r="I10" s="1">
        <v>36</v>
      </c>
      <c r="J10" s="1">
        <v>14</v>
      </c>
      <c r="K10" s="1"/>
      <c r="L10">
        <f>ROUND((E10+I10)/J10,0)</f>
        <v>95</v>
      </c>
      <c r="N10" s="1">
        <f>(E10+I10)/J10</f>
        <v>95.214285714285708</v>
      </c>
    </row>
    <row r="11" spans="1:22" ht="15" customHeight="1" x14ac:dyDescent="0.25">
      <c r="A11" s="1">
        <v>9</v>
      </c>
      <c r="B11" s="1">
        <v>117100</v>
      </c>
      <c r="C11" s="1" t="s">
        <v>66</v>
      </c>
      <c r="D11" s="1">
        <v>10</v>
      </c>
      <c r="E11" s="1">
        <v>973</v>
      </c>
      <c r="F11" s="1">
        <v>10</v>
      </c>
      <c r="G11" s="1">
        <v>97</v>
      </c>
      <c r="N11" s="1"/>
      <c r="T11" t="s">
        <v>116</v>
      </c>
      <c r="V11">
        <v>36</v>
      </c>
    </row>
    <row r="12" spans="1:22" ht="15" customHeight="1" x14ac:dyDescent="0.25">
      <c r="A12" s="1">
        <v>10</v>
      </c>
      <c r="B12" s="1">
        <v>138236</v>
      </c>
      <c r="C12" s="1" t="s">
        <v>67</v>
      </c>
      <c r="D12" s="1">
        <v>15</v>
      </c>
      <c r="E12" s="1">
        <v>984</v>
      </c>
      <c r="F12" s="1">
        <v>14</v>
      </c>
      <c r="G12" s="1">
        <v>70</v>
      </c>
      <c r="I12" s="7">
        <v>36</v>
      </c>
      <c r="J12" s="7">
        <v>15</v>
      </c>
      <c r="K12" s="7"/>
      <c r="L12">
        <f>ROUND((E12+I12+K12)/J12,0)</f>
        <v>68</v>
      </c>
      <c r="N12" s="1">
        <f>(E12+I12)/J12</f>
        <v>68</v>
      </c>
      <c r="T12" t="s">
        <v>123</v>
      </c>
      <c r="V12">
        <v>29</v>
      </c>
    </row>
    <row r="13" spans="1:22" ht="15" customHeight="1" x14ac:dyDescent="0.25">
      <c r="A13" s="1">
        <v>11</v>
      </c>
      <c r="B13" s="1">
        <v>139491</v>
      </c>
      <c r="C13" s="1" t="s">
        <v>68</v>
      </c>
      <c r="D13" s="1">
        <v>15</v>
      </c>
      <c r="E13" s="1">
        <v>978</v>
      </c>
      <c r="F13" s="1">
        <v>14</v>
      </c>
      <c r="G13" s="1">
        <v>70</v>
      </c>
      <c r="I13" s="7">
        <v>36</v>
      </c>
      <c r="J13" s="7">
        <v>15</v>
      </c>
      <c r="K13" s="7"/>
      <c r="L13">
        <f>ROUND((E13+I13+K13)/J13,0)</f>
        <v>68</v>
      </c>
      <c r="N13" s="1">
        <f>(E13+I13)/J13</f>
        <v>67.599999999999994</v>
      </c>
    </row>
    <row r="14" spans="1:22" ht="15" customHeight="1" x14ac:dyDescent="0.25">
      <c r="A14" s="1">
        <v>12</v>
      </c>
      <c r="B14" s="1">
        <v>149468</v>
      </c>
      <c r="C14" s="1" t="s">
        <v>69</v>
      </c>
      <c r="D14" s="1">
        <v>14</v>
      </c>
      <c r="E14" s="1">
        <v>887</v>
      </c>
      <c r="F14" s="1">
        <v>13</v>
      </c>
      <c r="G14" s="1">
        <v>68</v>
      </c>
      <c r="I14" s="1">
        <v>86</v>
      </c>
      <c r="J14" s="1">
        <v>14</v>
      </c>
      <c r="K14" s="1">
        <v>-23</v>
      </c>
      <c r="L14">
        <f>ROUND((E14+I14+K14)/J14,0)</f>
        <v>68</v>
      </c>
      <c r="N14" s="1">
        <f>(E14+I14)/J14</f>
        <v>69.5</v>
      </c>
    </row>
    <row r="15" spans="1:22" ht="15" customHeight="1" x14ac:dyDescent="0.25">
      <c r="A15" s="1">
        <v>13</v>
      </c>
      <c r="B15" s="1">
        <v>136901</v>
      </c>
      <c r="C15" s="1" t="s">
        <v>70</v>
      </c>
      <c r="D15" s="1">
        <v>11</v>
      </c>
      <c r="E15" s="1">
        <v>729</v>
      </c>
      <c r="F15" s="1">
        <v>11</v>
      </c>
      <c r="G15" s="1">
        <v>66</v>
      </c>
      <c r="I15" s="1">
        <v>86</v>
      </c>
      <c r="J15" s="1">
        <v>12</v>
      </c>
      <c r="K15" s="1">
        <v>0</v>
      </c>
      <c r="L15">
        <f>ROUND((E15+I15+K15)/J15,0)</f>
        <v>68</v>
      </c>
      <c r="N15" s="1">
        <f>(E15+I15)/J15</f>
        <v>67.916666666666671</v>
      </c>
    </row>
    <row r="16" spans="1:22" ht="15" customHeight="1" x14ac:dyDescent="0.25">
      <c r="A16" s="1">
        <v>14</v>
      </c>
      <c r="B16" s="1">
        <v>157187</v>
      </c>
      <c r="C16" s="1" t="s">
        <v>71</v>
      </c>
      <c r="D16" s="1">
        <v>13</v>
      </c>
      <c r="E16" s="1">
        <v>821</v>
      </c>
      <c r="F16" s="1">
        <v>13</v>
      </c>
      <c r="G16" s="1">
        <v>63</v>
      </c>
      <c r="I16" s="1">
        <v>36</v>
      </c>
      <c r="J16" s="1">
        <v>13</v>
      </c>
      <c r="K16" s="1">
        <v>0</v>
      </c>
      <c r="L16">
        <f>ROUND((E16+I16+K16)/J16,0)</f>
        <v>66</v>
      </c>
      <c r="N16" s="1">
        <f>(E16+I16)/J16</f>
        <v>65.92307692307692</v>
      </c>
    </row>
    <row r="17" spans="1:7" ht="15" customHeight="1" x14ac:dyDescent="0.25">
      <c r="A17" s="1">
        <v>15</v>
      </c>
      <c r="B17" s="1">
        <v>138237</v>
      </c>
      <c r="C17" s="1" t="s">
        <v>72</v>
      </c>
      <c r="D17" s="1">
        <v>13</v>
      </c>
      <c r="E17" s="1">
        <v>769</v>
      </c>
      <c r="F17" s="1">
        <v>13</v>
      </c>
      <c r="G17" s="1">
        <v>59</v>
      </c>
    </row>
    <row r="18" spans="1:7" ht="15" customHeight="1" x14ac:dyDescent="0.25">
      <c r="A18" s="1">
        <v>16</v>
      </c>
      <c r="B18" s="1">
        <v>141526</v>
      </c>
      <c r="C18" s="1" t="s">
        <v>73</v>
      </c>
      <c r="D18" s="1">
        <v>4</v>
      </c>
      <c r="E18" s="1">
        <v>509</v>
      </c>
      <c r="F18" s="1">
        <v>9</v>
      </c>
      <c r="G18" s="1">
        <v>57</v>
      </c>
    </row>
    <row r="22" spans="1:7" ht="15" customHeight="1" x14ac:dyDescent="0.25">
      <c r="A22" s="1"/>
      <c r="B22" s="1"/>
      <c r="C22" s="1"/>
      <c r="D22" s="1"/>
      <c r="E22" s="6"/>
      <c r="F22" s="1"/>
      <c r="G22" s="1"/>
    </row>
    <row r="23" spans="1:7" ht="15" customHeight="1" x14ac:dyDescent="0.25">
      <c r="A23" s="1"/>
      <c r="B23" s="1"/>
      <c r="C23" s="1"/>
      <c r="D23" s="1"/>
      <c r="E23" s="6"/>
      <c r="F23" s="1"/>
      <c r="G23" s="1"/>
    </row>
    <row r="24" spans="1:7" ht="15" customHeight="1" x14ac:dyDescent="0.25">
      <c r="A24" s="1"/>
      <c r="B24" s="1"/>
      <c r="C24" s="1"/>
      <c r="D24" s="1"/>
      <c r="E24" s="6"/>
      <c r="F24" s="1"/>
      <c r="G24" s="1"/>
    </row>
    <row r="25" spans="1:7" ht="15" customHeight="1" x14ac:dyDescent="0.25">
      <c r="A25" s="1"/>
      <c r="B25" s="1"/>
      <c r="C25" s="1"/>
      <c r="D25" s="1"/>
      <c r="E25" s="6"/>
      <c r="F25" s="1"/>
      <c r="G25" s="1"/>
    </row>
    <row r="26" spans="1:7" ht="15" customHeight="1" x14ac:dyDescent="0.25">
      <c r="A26" s="1"/>
      <c r="B26" s="1"/>
      <c r="C26" s="1"/>
      <c r="D26" s="1"/>
      <c r="E26" s="6"/>
      <c r="F26" s="1"/>
      <c r="G26" s="1"/>
    </row>
    <row r="27" spans="1:7" ht="15" customHeight="1" x14ac:dyDescent="0.25">
      <c r="A27" s="1"/>
      <c r="B27" s="1"/>
      <c r="C27" s="1"/>
      <c r="D27" s="1"/>
      <c r="E27" s="6"/>
      <c r="F27" s="1"/>
      <c r="G27" s="1"/>
    </row>
    <row r="28" spans="1:7" ht="15" customHeight="1" x14ac:dyDescent="0.25">
      <c r="A28" s="1"/>
      <c r="B28" s="1"/>
      <c r="C28" s="1"/>
      <c r="D28" s="1"/>
      <c r="E28" s="6"/>
      <c r="F28" s="1"/>
      <c r="G28" s="1"/>
    </row>
    <row r="29" spans="1:7" ht="15" customHeight="1" x14ac:dyDescent="0.25">
      <c r="A29" s="1"/>
      <c r="B29" s="1"/>
      <c r="C29" s="1"/>
      <c r="D29" s="1"/>
      <c r="E29" s="6"/>
      <c r="F29" s="1"/>
      <c r="G29" s="1"/>
    </row>
    <row r="30" spans="1:7" ht="15" customHeight="1" x14ac:dyDescent="0.25">
      <c r="A30" s="1"/>
      <c r="B30" s="1"/>
      <c r="C30" s="1"/>
      <c r="D30" s="1"/>
      <c r="E30" s="1"/>
      <c r="F30" s="1"/>
      <c r="G30" s="1"/>
    </row>
    <row r="31" spans="1:7" ht="15" customHeight="1" x14ac:dyDescent="0.25">
      <c r="A31" s="1"/>
      <c r="B31" s="1"/>
      <c r="C31" s="1"/>
      <c r="D31" s="1"/>
      <c r="E31" s="1"/>
      <c r="F31" s="1"/>
      <c r="G31" s="1"/>
    </row>
    <row r="32" spans="1:7" ht="15" customHeight="1" x14ac:dyDescent="0.25">
      <c r="A32" s="1"/>
      <c r="B32" s="1"/>
      <c r="C32" s="1"/>
      <c r="D32" s="1"/>
      <c r="E32" s="1"/>
      <c r="F32" s="1"/>
      <c r="G32" s="1"/>
    </row>
    <row r="33" spans="1:7" ht="15" customHeight="1" x14ac:dyDescent="0.25">
      <c r="A33" s="1"/>
      <c r="B33" s="1"/>
      <c r="C33" s="1"/>
      <c r="D33" s="1"/>
      <c r="E33" s="1"/>
      <c r="F33" s="1"/>
      <c r="G33" s="1"/>
    </row>
    <row r="34" spans="1:7" ht="15" customHeight="1" x14ac:dyDescent="0.25">
      <c r="A34" s="1"/>
      <c r="B34" s="1"/>
      <c r="C34" s="1"/>
      <c r="D34" s="1"/>
      <c r="E34" s="1"/>
      <c r="F34" s="1"/>
      <c r="G34" s="1"/>
    </row>
    <row r="35" spans="1:7" ht="15" customHeight="1" x14ac:dyDescent="0.25">
      <c r="A35" s="1"/>
      <c r="B35" s="1"/>
      <c r="C35" s="1"/>
      <c r="D35" s="1"/>
      <c r="E35" s="1"/>
      <c r="F35" s="1"/>
      <c r="G35" s="1"/>
    </row>
  </sheetData>
  <mergeCells count="3">
    <mergeCell ref="A1:A2"/>
    <mergeCell ref="B1:B2"/>
    <mergeCell ref="C1:C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G16"/>
  <sheetViews>
    <sheetView workbookViewId="0">
      <selection activeCell="G27" sqref="G27"/>
    </sheetView>
  </sheetViews>
  <sheetFormatPr baseColWidth="10" defaultRowHeight="15" customHeight="1" x14ac:dyDescent="0.25"/>
  <cols>
    <col min="3" max="3" width="32.85546875" bestFit="1" customWidth="1"/>
  </cols>
  <sheetData>
    <row r="1" spans="1:7" ht="15" customHeight="1" x14ac:dyDescent="0.25">
      <c r="A1" s="1">
        <v>1</v>
      </c>
      <c r="B1" s="1">
        <v>123685</v>
      </c>
      <c r="C1" s="1" t="s">
        <v>54</v>
      </c>
      <c r="D1" s="1">
        <v>15</v>
      </c>
      <c r="E1" s="6">
        <v>2874</v>
      </c>
      <c r="F1" s="1">
        <v>14</v>
      </c>
      <c r="G1" s="1">
        <v>205</v>
      </c>
    </row>
    <row r="2" spans="1:7" ht="15" customHeight="1" x14ac:dyDescent="0.25">
      <c r="A2" s="1">
        <v>2</v>
      </c>
      <c r="B2" s="1">
        <v>136028</v>
      </c>
      <c r="C2" s="1" t="s">
        <v>55</v>
      </c>
      <c r="D2" s="1">
        <v>16</v>
      </c>
      <c r="E2" s="6">
        <v>2997</v>
      </c>
      <c r="F2" s="1">
        <v>15</v>
      </c>
      <c r="G2" s="1">
        <v>200</v>
      </c>
    </row>
    <row r="3" spans="1:7" ht="15" customHeight="1" x14ac:dyDescent="0.25">
      <c r="A3" s="1">
        <v>3</v>
      </c>
      <c r="B3" s="1">
        <v>145049</v>
      </c>
      <c r="C3" s="1" t="s">
        <v>57</v>
      </c>
      <c r="D3" s="1">
        <v>11</v>
      </c>
      <c r="E3" s="6">
        <v>1955</v>
      </c>
      <c r="F3" s="1">
        <v>11</v>
      </c>
      <c r="G3" s="1">
        <v>178</v>
      </c>
    </row>
    <row r="4" spans="1:7" ht="15" customHeight="1" x14ac:dyDescent="0.25">
      <c r="A4" s="1">
        <v>4</v>
      </c>
      <c r="B4" s="1">
        <v>132059</v>
      </c>
      <c r="C4" s="1" t="s">
        <v>58</v>
      </c>
      <c r="D4" s="1">
        <v>13</v>
      </c>
      <c r="E4" s="6">
        <v>2176</v>
      </c>
      <c r="F4" s="1">
        <v>13</v>
      </c>
      <c r="G4" s="1">
        <v>167</v>
      </c>
    </row>
    <row r="5" spans="1:7" ht="15" customHeight="1" x14ac:dyDescent="0.25">
      <c r="A5" s="1">
        <v>5</v>
      </c>
      <c r="B5" s="1">
        <v>124375</v>
      </c>
      <c r="C5" s="1" t="s">
        <v>59</v>
      </c>
      <c r="D5" s="1">
        <v>16</v>
      </c>
      <c r="E5" s="6">
        <v>2268</v>
      </c>
      <c r="F5" s="1">
        <v>15</v>
      </c>
      <c r="G5" s="1">
        <v>151</v>
      </c>
    </row>
    <row r="6" spans="1:7" ht="15" customHeight="1" x14ac:dyDescent="0.25">
      <c r="A6" s="1">
        <v>6</v>
      </c>
      <c r="B6" s="1">
        <v>140101</v>
      </c>
      <c r="C6" s="1" t="s">
        <v>63</v>
      </c>
      <c r="D6" s="1">
        <v>12</v>
      </c>
      <c r="E6" s="6">
        <v>1325</v>
      </c>
      <c r="F6" s="1">
        <v>12</v>
      </c>
      <c r="G6" s="1">
        <v>110</v>
      </c>
    </row>
    <row r="7" spans="1:7" ht="15" customHeight="1" x14ac:dyDescent="0.25">
      <c r="A7" s="1">
        <v>7</v>
      </c>
      <c r="B7" s="1">
        <v>135799</v>
      </c>
      <c r="C7" s="1" t="s">
        <v>64</v>
      </c>
      <c r="D7" s="1">
        <v>12</v>
      </c>
      <c r="E7" s="6">
        <v>1194</v>
      </c>
      <c r="F7" s="1">
        <v>12</v>
      </c>
      <c r="G7" s="1">
        <v>100</v>
      </c>
    </row>
    <row r="8" spans="1:7" ht="15" customHeight="1" x14ac:dyDescent="0.25">
      <c r="A8" s="1">
        <v>8</v>
      </c>
      <c r="B8" s="1">
        <v>152205</v>
      </c>
      <c r="C8" s="1" t="s">
        <v>65</v>
      </c>
      <c r="D8" s="1">
        <v>14</v>
      </c>
      <c r="E8" s="6">
        <v>1297</v>
      </c>
      <c r="F8" s="1">
        <v>13</v>
      </c>
      <c r="G8" s="1">
        <v>100</v>
      </c>
    </row>
    <row r="9" spans="1:7" ht="15" customHeight="1" x14ac:dyDescent="0.25">
      <c r="A9" s="1">
        <v>9</v>
      </c>
      <c r="B9" s="1">
        <v>117100</v>
      </c>
      <c r="C9" s="1" t="s">
        <v>66</v>
      </c>
      <c r="D9" s="1">
        <v>10</v>
      </c>
      <c r="E9" s="1">
        <v>973</v>
      </c>
      <c r="F9" s="1">
        <v>10</v>
      </c>
      <c r="G9" s="1">
        <v>97</v>
      </c>
    </row>
    <row r="10" spans="1:7" ht="15" customHeight="1" x14ac:dyDescent="0.25">
      <c r="A10" s="1">
        <v>10</v>
      </c>
      <c r="B10" s="1">
        <v>138236</v>
      </c>
      <c r="C10" s="1" t="s">
        <v>67</v>
      </c>
      <c r="D10" s="1">
        <v>15</v>
      </c>
      <c r="E10" s="1">
        <v>984</v>
      </c>
      <c r="F10" s="1">
        <v>14</v>
      </c>
      <c r="G10" s="1">
        <v>70</v>
      </c>
    </row>
    <row r="11" spans="1:7" ht="15" customHeight="1" x14ac:dyDescent="0.25">
      <c r="A11" s="1">
        <v>11</v>
      </c>
      <c r="B11" s="1">
        <v>139491</v>
      </c>
      <c r="C11" s="1" t="s">
        <v>68</v>
      </c>
      <c r="D11" s="1">
        <v>15</v>
      </c>
      <c r="E11" s="1">
        <v>978</v>
      </c>
      <c r="F11" s="1">
        <v>14</v>
      </c>
      <c r="G11" s="1">
        <v>70</v>
      </c>
    </row>
    <row r="12" spans="1:7" ht="15" customHeight="1" x14ac:dyDescent="0.25">
      <c r="A12" s="1">
        <v>12</v>
      </c>
      <c r="B12" s="1">
        <v>136901</v>
      </c>
      <c r="C12" s="1" t="s">
        <v>70</v>
      </c>
      <c r="D12" s="1">
        <v>11</v>
      </c>
      <c r="E12" s="1">
        <v>729</v>
      </c>
      <c r="F12" s="1">
        <v>11</v>
      </c>
      <c r="G12" s="1">
        <v>68</v>
      </c>
    </row>
    <row r="13" spans="1:7" ht="15" customHeight="1" x14ac:dyDescent="0.25">
      <c r="A13" s="1"/>
      <c r="B13" s="1"/>
      <c r="C13" s="1"/>
      <c r="D13" s="1"/>
      <c r="E13" s="1"/>
      <c r="F13" s="1"/>
      <c r="G13" s="1"/>
    </row>
    <row r="14" spans="1:7" ht="15" customHeight="1" x14ac:dyDescent="0.25">
      <c r="A14" s="1"/>
      <c r="B14" s="1"/>
      <c r="C14" s="1"/>
      <c r="D14" s="1"/>
      <c r="E14" s="1"/>
      <c r="F14" s="1"/>
      <c r="G14" s="1"/>
    </row>
    <row r="15" spans="1:7" ht="15" customHeight="1" x14ac:dyDescent="0.25">
      <c r="A15" s="1">
        <v>13</v>
      </c>
      <c r="B15" s="1">
        <v>149468</v>
      </c>
      <c r="C15" s="1" t="s">
        <v>69</v>
      </c>
      <c r="D15" s="1">
        <v>14</v>
      </c>
      <c r="E15" s="1">
        <v>887</v>
      </c>
      <c r="F15" s="1">
        <v>13</v>
      </c>
      <c r="G15" s="1">
        <v>68</v>
      </c>
    </row>
    <row r="16" spans="1:7" ht="15" customHeight="1" x14ac:dyDescent="0.25">
      <c r="A16" s="1">
        <v>14</v>
      </c>
      <c r="B16" s="1">
        <v>157187</v>
      </c>
      <c r="C16" s="1" t="s">
        <v>71</v>
      </c>
      <c r="D16" s="1">
        <v>13</v>
      </c>
      <c r="E16" s="1">
        <v>821</v>
      </c>
      <c r="F16" s="1">
        <v>13</v>
      </c>
      <c r="G16" s="1">
        <v>66</v>
      </c>
    </row>
  </sheetData>
  <sortState ref="A1:G14">
    <sortCondition descending="1" ref="G1:G14"/>
    <sortCondition ref="B1:B1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F19"/>
  <sheetViews>
    <sheetView workbookViewId="0">
      <selection activeCell="F5" sqref="F5"/>
    </sheetView>
  </sheetViews>
  <sheetFormatPr baseColWidth="10" defaultRowHeight="15" x14ac:dyDescent="0.25"/>
  <cols>
    <col min="1" max="1" width="19.28515625" bestFit="1" customWidth="1"/>
    <col min="5" max="5" width="19.28515625" bestFit="1" customWidth="1"/>
  </cols>
  <sheetData>
    <row r="1" spans="1:6" x14ac:dyDescent="0.25">
      <c r="A1" s="8" t="s">
        <v>151</v>
      </c>
      <c r="B1" s="8"/>
      <c r="C1" s="8"/>
      <c r="D1" s="8"/>
    </row>
    <row r="2" spans="1:6" x14ac:dyDescent="0.25">
      <c r="A2" t="s">
        <v>222</v>
      </c>
      <c r="B2">
        <v>114</v>
      </c>
    </row>
    <row r="3" spans="1:6" x14ac:dyDescent="0.25">
      <c r="A3" t="s">
        <v>223</v>
      </c>
      <c r="B3">
        <v>115</v>
      </c>
    </row>
    <row r="4" spans="1:6" x14ac:dyDescent="0.25">
      <c r="A4" t="s">
        <v>224</v>
      </c>
      <c r="B4">
        <v>116</v>
      </c>
      <c r="F4">
        <f>VLOOKUP(A4,IdCategorias,2,FALSE)</f>
        <v>116</v>
      </c>
    </row>
    <row r="5" spans="1:6" x14ac:dyDescent="0.25">
      <c r="A5" t="s">
        <v>225</v>
      </c>
      <c r="B5">
        <v>117</v>
      </c>
    </row>
    <row r="6" spans="1:6" x14ac:dyDescent="0.25">
      <c r="A6" t="s">
        <v>226</v>
      </c>
      <c r="B6">
        <v>118</v>
      </c>
    </row>
    <row r="7" spans="1:6" x14ac:dyDescent="0.25">
      <c r="A7" t="s">
        <v>227</v>
      </c>
      <c r="B7">
        <v>119</v>
      </c>
    </row>
    <row r="8" spans="1:6" x14ac:dyDescent="0.25">
      <c r="A8" t="s">
        <v>228</v>
      </c>
      <c r="B8">
        <v>120</v>
      </c>
    </row>
    <row r="9" spans="1:6" x14ac:dyDescent="0.25">
      <c r="A9" t="s">
        <v>229</v>
      </c>
      <c r="B9">
        <v>121</v>
      </c>
    </row>
    <row r="10" spans="1:6" x14ac:dyDescent="0.25">
      <c r="A10" t="s">
        <v>230</v>
      </c>
      <c r="B10">
        <v>122</v>
      </c>
    </row>
    <row r="11" spans="1:6" x14ac:dyDescent="0.25">
      <c r="A11" t="s">
        <v>231</v>
      </c>
      <c r="B11">
        <v>123</v>
      </c>
    </row>
    <row r="13" spans="1:6" x14ac:dyDescent="0.25">
      <c r="A13" s="8" t="s">
        <v>152</v>
      </c>
      <c r="B13" s="8"/>
      <c r="C13" s="8"/>
      <c r="D13" s="8"/>
    </row>
    <row r="14" spans="1:6" x14ac:dyDescent="0.25">
      <c r="A14" t="s">
        <v>135</v>
      </c>
      <c r="B14" t="s">
        <v>115</v>
      </c>
      <c r="D14">
        <v>250</v>
      </c>
    </row>
    <row r="15" spans="1:6" x14ac:dyDescent="0.25">
      <c r="A15" t="s">
        <v>135</v>
      </c>
      <c r="B15" t="s">
        <v>117</v>
      </c>
      <c r="D15">
        <v>175</v>
      </c>
    </row>
    <row r="16" spans="1:6" x14ac:dyDescent="0.25">
      <c r="A16" t="s">
        <v>135</v>
      </c>
      <c r="B16" t="s">
        <v>114</v>
      </c>
      <c r="D16">
        <v>123</v>
      </c>
    </row>
    <row r="17" spans="1:4" x14ac:dyDescent="0.25">
      <c r="A17" t="s">
        <v>135</v>
      </c>
      <c r="B17" t="s">
        <v>120</v>
      </c>
      <c r="D17">
        <v>86</v>
      </c>
    </row>
    <row r="18" spans="1:4" x14ac:dyDescent="0.25">
      <c r="A18" t="s">
        <v>136</v>
      </c>
      <c r="B18" t="s">
        <v>115</v>
      </c>
      <c r="D18">
        <v>36</v>
      </c>
    </row>
    <row r="19" spans="1:4" x14ac:dyDescent="0.25">
      <c r="A19" t="s">
        <v>136</v>
      </c>
      <c r="B19" t="s">
        <v>117</v>
      </c>
      <c r="D19">
        <v>29</v>
      </c>
    </row>
  </sheetData>
  <sortState ref="A21:C30">
    <sortCondition ref="A2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/>
  <dimension ref="A1:G2"/>
  <sheetViews>
    <sheetView workbookViewId="0">
      <selection activeCell="E23" sqref="E23"/>
    </sheetView>
  </sheetViews>
  <sheetFormatPr baseColWidth="10" defaultRowHeight="15" x14ac:dyDescent="0.25"/>
  <sheetData>
    <row r="1" spans="1:7" x14ac:dyDescent="0.25">
      <c r="A1" s="9" t="s">
        <v>46</v>
      </c>
      <c r="B1" s="9" t="s">
        <v>47</v>
      </c>
      <c r="C1" s="9" t="s">
        <v>48</v>
      </c>
      <c r="D1" s="5" t="s">
        <v>49</v>
      </c>
      <c r="E1" s="5" t="s">
        <v>51</v>
      </c>
      <c r="F1" s="5" t="s">
        <v>49</v>
      </c>
      <c r="G1" s="5" t="s">
        <v>51</v>
      </c>
    </row>
    <row r="2" spans="1:7" x14ac:dyDescent="0.25">
      <c r="A2" s="9"/>
      <c r="B2" s="9"/>
      <c r="C2" s="9"/>
      <c r="D2" s="5" t="s">
        <v>50</v>
      </c>
      <c r="E2" s="5" t="s">
        <v>52</v>
      </c>
      <c r="F2" s="5" t="s">
        <v>53</v>
      </c>
      <c r="G2" s="5" t="s">
        <v>53</v>
      </c>
    </row>
  </sheetData>
  <mergeCells count="3">
    <mergeCell ref="A1:A2"/>
    <mergeCell ref="B1:B2"/>
    <mergeCell ref="C1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tonHistorial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9</xdr:col>
                    <xdr:colOff>752475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uadroFinal">
                <anchor moveWithCells="1" sizeWithCells="1">
                  <from>
                    <xdr:col>8</xdr:col>
                    <xdr:colOff>19050</xdr:colOff>
                    <xdr:row>1</xdr:row>
                    <xdr:rowOff>180975</xdr:rowOff>
                  </from>
                  <to>
                    <xdr:col>9</xdr:col>
                    <xdr:colOff>752475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nsolacion">
                <anchor moveWithCells="1" sizeWithCells="1">
                  <from>
                    <xdr:col>8</xdr:col>
                    <xdr:colOff>9525</xdr:colOff>
                    <xdr:row>4</xdr:row>
                    <xdr:rowOff>66675</xdr:rowOff>
                  </from>
                  <to>
                    <xdr:col>9</xdr:col>
                    <xdr:colOff>742950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Torneos 2015</vt:lpstr>
      <vt:lpstr>Torneos 2016</vt:lpstr>
      <vt:lpstr>Ranking-Alevin-Femenino</vt:lpstr>
      <vt:lpstr>Rankin-Infantil-Femenino</vt:lpstr>
      <vt:lpstr>Ranking-Alevin (2)</vt:lpstr>
      <vt:lpstr>Hoja33</vt:lpstr>
      <vt:lpstr>Datos</vt:lpstr>
      <vt:lpstr>Ranking-Plantilla</vt:lpstr>
      <vt:lpstr>Jugador-Plantilla</vt:lpstr>
      <vt:lpstr>IdCategorias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</cp:lastModifiedBy>
  <dcterms:created xsi:type="dcterms:W3CDTF">2016-11-20T09:25:05Z</dcterms:created>
  <dcterms:modified xsi:type="dcterms:W3CDTF">2016-11-25T06:34:16Z</dcterms:modified>
</cp:coreProperties>
</file>